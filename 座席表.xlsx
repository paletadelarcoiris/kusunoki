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◇R8 マイドライブ3年\学級\"/>
    </mc:Choice>
  </mc:AlternateContent>
  <xr:revisionPtr revIDLastSave="0" documentId="13_ncr:1_{F1198E9A-48B2-4EF2-B1FB-7553BD32583C}" xr6:coauthVersionLast="47" xr6:coauthVersionMax="47" xr10:uidLastSave="{00000000-0000-0000-0000-000000000000}"/>
  <bookViews>
    <workbookView xWindow="-108" yWindow="-108" windowWidth="23256" windowHeight="12456" activeTab="1" xr2:uid="{9AA97CFE-F436-42D9-81E1-9BA2ADD878B7}"/>
  </bookViews>
  <sheets>
    <sheet name="5.8" sheetId="1" r:id="rId1"/>
    <sheet name="6.24" sheetId="2" r:id="rId2"/>
  </sheets>
  <definedNames>
    <definedName name="_xlnm.Print_Area" localSheetId="0">'5.8'!$A$1:$Q$17</definedName>
    <definedName name="_xlnm.Print_Area" localSheetId="1">'6.24'!$A$1:$Q$34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6" i="2" l="1"/>
  <c r="N16" i="2"/>
  <c r="K16" i="2"/>
  <c r="H16" i="2"/>
  <c r="E16" i="2"/>
  <c r="B16" i="2"/>
  <c r="Q13" i="2"/>
  <c r="N13" i="2"/>
  <c r="K13" i="2"/>
  <c r="H13" i="2"/>
  <c r="E13" i="2"/>
  <c r="B13" i="2"/>
  <c r="Q10" i="2"/>
  <c r="N10" i="2"/>
  <c r="K10" i="2"/>
  <c r="H10" i="2"/>
  <c r="E10" i="2"/>
  <c r="B10" i="2"/>
  <c r="Q7" i="2"/>
  <c r="N7" i="2"/>
  <c r="K7" i="2"/>
  <c r="H7" i="2"/>
  <c r="E7" i="2"/>
  <c r="B7" i="2"/>
  <c r="Q4" i="2"/>
  <c r="N4" i="2"/>
  <c r="K4" i="2"/>
  <c r="H4" i="2"/>
  <c r="E4" i="2"/>
  <c r="B4" i="2"/>
  <c r="Q1" i="2"/>
  <c r="N1" i="2"/>
  <c r="E16" i="1"/>
  <c r="B16" i="1"/>
  <c r="E13" i="1"/>
  <c r="B13" i="1"/>
  <c r="K16" i="1"/>
  <c r="H16" i="1"/>
  <c r="K13" i="1"/>
  <c r="H13" i="1"/>
  <c r="Q16" i="1"/>
  <c r="N16" i="1"/>
  <c r="Q13" i="1"/>
  <c r="N13" i="1"/>
  <c r="Q10" i="1"/>
  <c r="N10" i="1"/>
  <c r="Q7" i="1"/>
  <c r="N7" i="1"/>
  <c r="K10" i="1"/>
  <c r="H10" i="1"/>
  <c r="K7" i="1"/>
  <c r="H7" i="1"/>
  <c r="E10" i="1"/>
  <c r="B10" i="1"/>
  <c r="E7" i="1"/>
  <c r="B7" i="1"/>
  <c r="Q1" i="1"/>
  <c r="N1" i="1"/>
  <c r="N4" i="1"/>
  <c r="Q4" i="1"/>
  <c r="K4" i="1"/>
  <c r="H4" i="1"/>
  <c r="E4" i="1"/>
  <c r="B4" i="1"/>
</calcChain>
</file>

<file path=xl/sharedStrings.xml><?xml version="1.0" encoding="utf-8"?>
<sst xmlns="http://schemas.openxmlformats.org/spreadsheetml/2006/main" count="68" uniqueCount="34">
  <si>
    <t>月　　　日（　　　）</t>
    <rPh sb="0" eb="1">
      <t>ガツ</t>
    </rPh>
    <rPh sb="4" eb="5">
      <t>ニチ</t>
    </rPh>
    <phoneticPr fontId="1"/>
  </si>
  <si>
    <t>青池すみれ</t>
    <rPh sb="0" eb="2">
      <t>アオイケ</t>
    </rPh>
    <phoneticPr fontId="1"/>
  </si>
  <si>
    <t>井口しゅう</t>
    <rPh sb="0" eb="2">
      <t>イグチ</t>
    </rPh>
    <phoneticPr fontId="1"/>
  </si>
  <si>
    <t>池田けんしん</t>
    <rPh sb="0" eb="2">
      <t>イケダ</t>
    </rPh>
    <phoneticPr fontId="1"/>
  </si>
  <si>
    <t>磯部あさひ</t>
    <rPh sb="0" eb="2">
      <t>イソベ</t>
    </rPh>
    <phoneticPr fontId="1"/>
  </si>
  <si>
    <t>岩田しの</t>
    <rPh sb="0" eb="2">
      <t>イワタ</t>
    </rPh>
    <phoneticPr fontId="1"/>
  </si>
  <si>
    <t>江藤ひいらぎ</t>
    <rPh sb="0" eb="2">
      <t>エトウ</t>
    </rPh>
    <phoneticPr fontId="1"/>
  </si>
  <si>
    <t>大場はるた</t>
    <rPh sb="0" eb="2">
      <t>オオバ</t>
    </rPh>
    <phoneticPr fontId="1"/>
  </si>
  <si>
    <t>大橋すい</t>
    <rPh sb="0" eb="2">
      <t>オオハシ</t>
    </rPh>
    <phoneticPr fontId="1"/>
  </si>
  <si>
    <t>川島ゆうや</t>
    <rPh sb="0" eb="2">
      <t>カワシマ</t>
    </rPh>
    <phoneticPr fontId="1"/>
  </si>
  <si>
    <t>木下なつき</t>
    <rPh sb="0" eb="2">
      <t>キノシタ</t>
    </rPh>
    <phoneticPr fontId="1"/>
  </si>
  <si>
    <t>久野よしあき</t>
    <rPh sb="0" eb="2">
      <t>クノ</t>
    </rPh>
    <phoneticPr fontId="1"/>
  </si>
  <si>
    <t>小林だいち</t>
    <rPh sb="0" eb="2">
      <t>コバヤシ</t>
    </rPh>
    <phoneticPr fontId="1"/>
  </si>
  <si>
    <t>小林ふうが</t>
    <rPh sb="0" eb="2">
      <t>コバヤシ</t>
    </rPh>
    <phoneticPr fontId="1"/>
  </si>
  <si>
    <t>宰川そら</t>
    <rPh sb="0" eb="1">
      <t>サイ</t>
    </rPh>
    <rPh sb="1" eb="2">
      <t>カワ</t>
    </rPh>
    <phoneticPr fontId="1"/>
  </si>
  <si>
    <t>坂口あやせ</t>
    <rPh sb="0" eb="2">
      <t>サカグチ</t>
    </rPh>
    <phoneticPr fontId="1"/>
  </si>
  <si>
    <t>佐藤べに</t>
    <rPh sb="0" eb="2">
      <t>サトウ</t>
    </rPh>
    <phoneticPr fontId="1"/>
  </si>
  <si>
    <t>清水りお</t>
    <rPh sb="0" eb="2">
      <t>シミズ</t>
    </rPh>
    <phoneticPr fontId="1"/>
  </si>
  <si>
    <t>庄古あかり</t>
    <rPh sb="0" eb="2">
      <t>ショウコ</t>
    </rPh>
    <phoneticPr fontId="1"/>
  </si>
  <si>
    <t>鈴木ことな</t>
    <rPh sb="0" eb="2">
      <t>スズキ</t>
    </rPh>
    <phoneticPr fontId="1"/>
  </si>
  <si>
    <t>鈴木はるま</t>
    <rPh sb="0" eb="2">
      <t>スズキ</t>
    </rPh>
    <phoneticPr fontId="1"/>
  </si>
  <si>
    <t>須山さくら</t>
    <rPh sb="0" eb="2">
      <t>スヤマ</t>
    </rPh>
    <phoneticPr fontId="1"/>
  </si>
  <si>
    <t>田中ゆずほ</t>
    <rPh sb="0" eb="2">
      <t>タナカ</t>
    </rPh>
    <phoneticPr fontId="1"/>
  </si>
  <si>
    <t>土屋かいき</t>
    <rPh sb="0" eb="2">
      <t>ツチヤ</t>
    </rPh>
    <phoneticPr fontId="1"/>
  </si>
  <si>
    <t>坪井はるき</t>
    <rPh sb="0" eb="2">
      <t>ツボイ</t>
    </rPh>
    <phoneticPr fontId="1"/>
  </si>
  <si>
    <t>鶴巻りおな</t>
    <rPh sb="0" eb="2">
      <t>ツルマキ</t>
    </rPh>
    <phoneticPr fontId="1"/>
  </si>
  <si>
    <t>豊田ひな</t>
    <rPh sb="0" eb="2">
      <t>トヨダ</t>
    </rPh>
    <phoneticPr fontId="1"/>
  </si>
  <si>
    <t>永井りょうま</t>
    <rPh sb="0" eb="2">
      <t>ナガイ</t>
    </rPh>
    <phoneticPr fontId="1"/>
  </si>
  <si>
    <t>中沢けんじ</t>
    <rPh sb="0" eb="2">
      <t>ナカザワ</t>
    </rPh>
    <phoneticPr fontId="1"/>
  </si>
  <si>
    <t>中津川みあ</t>
    <rPh sb="0" eb="3">
      <t>ナカツガワ</t>
    </rPh>
    <phoneticPr fontId="1"/>
  </si>
  <si>
    <t>藤森あおい</t>
    <rPh sb="0" eb="2">
      <t>フジモリ</t>
    </rPh>
    <phoneticPr fontId="1"/>
  </si>
  <si>
    <t>藤原せいご</t>
    <rPh sb="0" eb="2">
      <t>フジワラ</t>
    </rPh>
    <phoneticPr fontId="1"/>
  </si>
  <si>
    <t>牧野そうた</t>
    <rPh sb="0" eb="2">
      <t>マキノ</t>
    </rPh>
    <phoneticPr fontId="1"/>
  </si>
  <si>
    <t>山田りく</t>
    <rPh sb="0" eb="2">
      <t>ヤマダ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</si>
</sst>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HGP創英角ﾎﾟｯﾌﾟ体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0" xfId="0" applyAlignment="1">
      <alignment vertical="top"/>
    </xf>
    <xf numFmtId="0" fontId="0" fillId="0" borderId="15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14" xfId="0" applyBorder="1" applyAlignment="1">
      <alignment vertical="top"/>
    </xf>
    <xf numFmtId="0" fontId="2" fillId="0" borderId="0" xfId="0" applyFont="1" applyBorder="1" applyAlignment="1">
      <alignment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57AA-E839-420B-874B-5AEE533EF8BA}">
  <dimension ref="A1:T34"/>
  <sheetViews>
    <sheetView view="pageBreakPreview" zoomScale="59" zoomScaleNormal="87" zoomScaleSheetLayoutView="70" workbookViewId="0">
      <selection activeCell="O15" activeCellId="7" sqref="I9 I15 C15 C9 F4:F5 O3 O9 O15"/>
    </sheetView>
  </sheetViews>
  <sheetFormatPr defaultRowHeight="35.700000000000003" customHeight="1" x14ac:dyDescent="0.45"/>
  <cols>
    <col min="1" max="1" width="5" customWidth="1"/>
    <col min="2" max="2" width="12.19921875" customWidth="1"/>
    <col min="3" max="3" width="2.09765625" customWidth="1"/>
    <col min="4" max="4" width="5" customWidth="1"/>
    <col min="5" max="5" width="12.19921875" customWidth="1"/>
    <col min="7" max="7" width="5" customWidth="1"/>
    <col min="8" max="8" width="12.19921875" customWidth="1"/>
    <col min="9" max="9" width="2.09765625" customWidth="1"/>
    <col min="10" max="10" width="5" customWidth="1"/>
    <col min="11" max="11" width="12.19921875" customWidth="1"/>
    <col min="13" max="13" width="5" customWidth="1"/>
    <col min="14" max="14" width="12.19921875" customWidth="1"/>
    <col min="15" max="15" width="2.09765625" customWidth="1"/>
    <col min="16" max="16" width="5" customWidth="1"/>
    <col min="17" max="17" width="12.19921875" customWidth="1"/>
    <col min="19" max="19" width="8.796875" style="17"/>
    <col min="20" max="20" width="9" style="17"/>
  </cols>
  <sheetData>
    <row r="1" spans="1:20" s="17" customFormat="1" ht="34.950000000000003" customHeight="1" x14ac:dyDescent="0.45">
      <c r="A1" s="20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M1" s="13">
        <v>22</v>
      </c>
      <c r="N1" s="14" t="str">
        <f>VLOOKUP(M1,$S$2:$T$35,2)</f>
        <v>田中ゆずほ</v>
      </c>
      <c r="O1" s="15"/>
      <c r="P1" s="16">
        <v>4</v>
      </c>
      <c r="Q1" s="23" t="str">
        <f>VLOOKUP(P1,$S$2:$T$35,2)</f>
        <v>磯部あさひ</v>
      </c>
    </row>
    <row r="2" spans="1:20" ht="34.950000000000003" customHeight="1" x14ac:dyDescent="0.45">
      <c r="A2" s="1"/>
      <c r="B2" s="4"/>
      <c r="C2" s="4"/>
      <c r="D2" s="4"/>
      <c r="E2" s="4"/>
      <c r="F2" s="4"/>
      <c r="G2" s="4"/>
      <c r="H2" s="4"/>
      <c r="I2" s="4"/>
      <c r="J2" s="4"/>
      <c r="K2" s="2"/>
      <c r="M2" s="5"/>
      <c r="N2" s="2"/>
      <c r="O2" s="3"/>
      <c r="P2" s="1"/>
      <c r="Q2" s="6"/>
      <c r="S2" s="17">
        <v>1</v>
      </c>
      <c r="T2" s="17" t="s">
        <v>1</v>
      </c>
    </row>
    <row r="3" spans="1:20" ht="21.45" customHeight="1" thickBot="1" x14ac:dyDescent="0.5">
      <c r="M3" s="7"/>
      <c r="N3" s="4"/>
      <c r="O3" s="28">
        <v>8</v>
      </c>
      <c r="P3" s="4"/>
      <c r="Q3" s="6"/>
      <c r="S3" s="17">
        <v>2</v>
      </c>
      <c r="T3" s="17" t="s">
        <v>2</v>
      </c>
    </row>
    <row r="4" spans="1:20" s="17" customFormat="1" ht="34.950000000000003" customHeight="1" x14ac:dyDescent="0.45">
      <c r="A4" s="13">
        <v>27</v>
      </c>
      <c r="B4" s="14" t="str">
        <f>VLOOKUP(A4,$S$2:$T$35,2)</f>
        <v>永井りょうま</v>
      </c>
      <c r="C4" s="15"/>
      <c r="D4" s="16">
        <v>8</v>
      </c>
      <c r="E4" s="14" t="str">
        <f>VLOOKUP(D4,$S$2:$T$35,2)</f>
        <v>大橋すい</v>
      </c>
      <c r="F4" s="29">
        <v>5</v>
      </c>
      <c r="G4" s="16">
        <v>9</v>
      </c>
      <c r="H4" s="14" t="str">
        <f>VLOOKUP(G4,$S$2:$T$35,2)</f>
        <v>川島ゆうや</v>
      </c>
      <c r="I4" s="15"/>
      <c r="J4" s="16">
        <v>19</v>
      </c>
      <c r="K4" s="23" t="str">
        <f>VLOOKUP(J4,$S$2:$T$35,2)</f>
        <v>鈴木ことな</v>
      </c>
      <c r="M4" s="18">
        <v>20</v>
      </c>
      <c r="N4" s="25" t="str">
        <f>VLOOKUP(M4,$S$2:$T$35,2)</f>
        <v>鈴木はるま</v>
      </c>
      <c r="O4" s="19"/>
      <c r="P4" s="26">
        <v>6</v>
      </c>
      <c r="Q4" s="27" t="str">
        <f>VLOOKUP(P4,$S$2:$T$35,2)</f>
        <v>江藤ひいらぎ</v>
      </c>
      <c r="S4" s="17">
        <v>3</v>
      </c>
      <c r="T4" s="17" t="s">
        <v>3</v>
      </c>
    </row>
    <row r="5" spans="1:20" ht="34.950000000000003" customHeight="1" thickBot="1" x14ac:dyDescent="0.5">
      <c r="A5" s="8"/>
      <c r="B5" s="9"/>
      <c r="C5" s="10"/>
      <c r="D5" s="11"/>
      <c r="E5" s="9"/>
      <c r="F5" s="30"/>
      <c r="G5" s="11"/>
      <c r="H5" s="9"/>
      <c r="I5" s="10"/>
      <c r="J5" s="11"/>
      <c r="K5" s="12"/>
      <c r="M5" s="8"/>
      <c r="N5" s="9"/>
      <c r="O5" s="10"/>
      <c r="P5" s="11"/>
      <c r="Q5" s="12"/>
      <c r="S5" s="17">
        <v>4</v>
      </c>
      <c r="T5" s="17" t="s">
        <v>4</v>
      </c>
    </row>
    <row r="6" spans="1:20" ht="21.45" customHeight="1" thickBot="1" x14ac:dyDescent="0.5">
      <c r="S6" s="17">
        <v>5</v>
      </c>
      <c r="T6" s="17" t="s">
        <v>5</v>
      </c>
    </row>
    <row r="7" spans="1:20" s="17" customFormat="1" ht="34.950000000000003" customHeight="1" x14ac:dyDescent="0.45">
      <c r="A7" s="13">
        <v>17</v>
      </c>
      <c r="B7" s="14" t="str">
        <f>VLOOKUP(A7,$S$2:$T$35,2)</f>
        <v>清水りお</v>
      </c>
      <c r="C7" s="15"/>
      <c r="D7" s="16">
        <v>28</v>
      </c>
      <c r="E7" s="23" t="str">
        <f>VLOOKUP(D7,$S$2:$T$35,2)</f>
        <v>中沢けんじ</v>
      </c>
      <c r="G7" s="13">
        <v>26</v>
      </c>
      <c r="H7" s="14" t="str">
        <f>VLOOKUP(G7,$S$2:$T$35,2)</f>
        <v>豊田ひな</v>
      </c>
      <c r="I7" s="15"/>
      <c r="J7" s="16">
        <v>24</v>
      </c>
      <c r="K7" s="23" t="str">
        <f>VLOOKUP(J7,$S$2:$T$35,2)</f>
        <v>坪井はるき</v>
      </c>
      <c r="M7" s="13">
        <v>25</v>
      </c>
      <c r="N7" s="14" t="str">
        <f>VLOOKUP(M7,$S$2:$T$35,2)</f>
        <v>鶴巻りおな</v>
      </c>
      <c r="O7" s="15"/>
      <c r="P7" s="16">
        <v>3</v>
      </c>
      <c r="Q7" s="23" t="str">
        <f>VLOOKUP(P7,$S$2:$T$35,2)</f>
        <v>池田けんしん</v>
      </c>
      <c r="S7" s="17">
        <v>6</v>
      </c>
      <c r="T7" s="17" t="s">
        <v>6</v>
      </c>
    </row>
    <row r="8" spans="1:20" ht="34.950000000000003" customHeight="1" x14ac:dyDescent="0.45">
      <c r="A8" s="5"/>
      <c r="B8" s="2"/>
      <c r="C8" s="3"/>
      <c r="D8" s="1"/>
      <c r="E8" s="6"/>
      <c r="G8" s="5"/>
      <c r="H8" s="2"/>
      <c r="I8" s="3"/>
      <c r="J8" s="1"/>
      <c r="K8" s="6"/>
      <c r="M8" s="5"/>
      <c r="N8" s="2"/>
      <c r="O8" s="3"/>
      <c r="P8" s="1"/>
      <c r="Q8" s="6"/>
      <c r="S8" s="17">
        <v>7</v>
      </c>
      <c r="T8" s="17" t="s">
        <v>7</v>
      </c>
    </row>
    <row r="9" spans="1:20" ht="21.45" customHeight="1" x14ac:dyDescent="0.45">
      <c r="A9" s="5"/>
      <c r="B9" s="4"/>
      <c r="C9" s="28">
        <v>2</v>
      </c>
      <c r="D9" s="4"/>
      <c r="E9" s="6"/>
      <c r="G9" s="7"/>
      <c r="H9" s="4"/>
      <c r="I9" s="28">
        <v>4</v>
      </c>
      <c r="J9" s="4"/>
      <c r="K9" s="6"/>
      <c r="M9" s="7"/>
      <c r="N9" s="4"/>
      <c r="O9" s="28">
        <v>7</v>
      </c>
      <c r="P9" s="4"/>
      <c r="Q9" s="6"/>
      <c r="S9" s="17">
        <v>8</v>
      </c>
      <c r="T9" s="17" t="s">
        <v>8</v>
      </c>
    </row>
    <row r="10" spans="1:20" s="17" customFormat="1" ht="34.950000000000003" customHeight="1" x14ac:dyDescent="0.45">
      <c r="A10" s="24">
        <v>13</v>
      </c>
      <c r="B10" s="25" t="str">
        <f>VLOOKUP(A10,$S$2:$T$35,2)</f>
        <v>小林ふうが</v>
      </c>
      <c r="C10" s="19"/>
      <c r="D10" s="26">
        <v>5</v>
      </c>
      <c r="E10" s="27" t="str">
        <f>VLOOKUP(D10,$S$2:$T$35,2)</f>
        <v>岩田しの</v>
      </c>
      <c r="G10" s="18">
        <v>7</v>
      </c>
      <c r="H10" s="25" t="str">
        <f>VLOOKUP(G10,$S$2:$T$35,2)</f>
        <v>大場はるた</v>
      </c>
      <c r="I10" s="19"/>
      <c r="J10" s="26">
        <v>29</v>
      </c>
      <c r="K10" s="27" t="str">
        <f>VLOOKUP(J10,$S$2:$T$35,2)</f>
        <v>中津川みあ</v>
      </c>
      <c r="M10" s="18">
        <v>10</v>
      </c>
      <c r="N10" s="25" t="str">
        <f>VLOOKUP(M10,$S$2:$T$35,2)</f>
        <v>木下なつき</v>
      </c>
      <c r="O10" s="19"/>
      <c r="P10" s="26">
        <v>30</v>
      </c>
      <c r="Q10" s="27" t="str">
        <f>VLOOKUP(P10,$S$2:$T$35,2)</f>
        <v>藤森あおい</v>
      </c>
      <c r="S10" s="17">
        <v>9</v>
      </c>
      <c r="T10" s="17" t="s">
        <v>9</v>
      </c>
    </row>
    <row r="11" spans="1:20" ht="34.950000000000003" customHeight="1" thickBot="1" x14ac:dyDescent="0.5">
      <c r="A11" s="8"/>
      <c r="B11" s="9"/>
      <c r="C11" s="10"/>
      <c r="D11" s="11"/>
      <c r="E11" s="12"/>
      <c r="G11" s="8"/>
      <c r="H11" s="9"/>
      <c r="I11" s="10"/>
      <c r="J11" s="11"/>
      <c r="K11" s="12"/>
      <c r="M11" s="8"/>
      <c r="N11" s="9"/>
      <c r="O11" s="10"/>
      <c r="P11" s="11"/>
      <c r="Q11" s="12"/>
      <c r="S11" s="17">
        <v>10</v>
      </c>
      <c r="T11" s="17" t="s">
        <v>10</v>
      </c>
    </row>
    <row r="12" spans="1:20" ht="21.45" customHeight="1" thickBot="1" x14ac:dyDescent="0.5">
      <c r="S12" s="17">
        <v>11</v>
      </c>
      <c r="T12" s="17" t="s">
        <v>11</v>
      </c>
    </row>
    <row r="13" spans="1:20" s="17" customFormat="1" ht="34.950000000000003" customHeight="1" x14ac:dyDescent="0.45">
      <c r="A13" s="13">
        <v>15</v>
      </c>
      <c r="B13" s="14" t="str">
        <f>VLOOKUP(A13,$S$2:$T$35,2)</f>
        <v>坂口あやせ</v>
      </c>
      <c r="C13" s="15"/>
      <c r="D13" s="16">
        <v>33</v>
      </c>
      <c r="E13" s="23" t="str">
        <f>VLOOKUP(D13,$S$2:$T$35,2)</f>
        <v>山田りく</v>
      </c>
      <c r="G13" s="13">
        <v>21</v>
      </c>
      <c r="H13" s="14" t="str">
        <f>VLOOKUP(G13,$S$2:$T$35,2)</f>
        <v>須山さくら</v>
      </c>
      <c r="I13" s="15"/>
      <c r="J13" s="16">
        <v>2</v>
      </c>
      <c r="K13" s="23" t="str">
        <f>VLOOKUP(J13,$S$2:$T$35,2)</f>
        <v>井口しゅう</v>
      </c>
      <c r="M13" s="13">
        <v>18</v>
      </c>
      <c r="N13" s="14" t="str">
        <f>VLOOKUP(M13,$S$2:$T$35,2)</f>
        <v>庄古あかり</v>
      </c>
      <c r="O13" s="15"/>
      <c r="P13" s="16">
        <v>12</v>
      </c>
      <c r="Q13" s="23" t="str">
        <f>VLOOKUP(P13,$S$2:$T$35,2)</f>
        <v>小林だいち</v>
      </c>
      <c r="S13" s="17">
        <v>12</v>
      </c>
      <c r="T13" s="17" t="s">
        <v>12</v>
      </c>
    </row>
    <row r="14" spans="1:20" ht="34.950000000000003" customHeight="1" x14ac:dyDescent="0.45">
      <c r="A14" s="5"/>
      <c r="B14" s="2"/>
      <c r="C14" s="3"/>
      <c r="D14" s="1"/>
      <c r="E14" s="6"/>
      <c r="G14" s="5"/>
      <c r="H14" s="2"/>
      <c r="I14" s="3"/>
      <c r="J14" s="1"/>
      <c r="K14" s="6"/>
      <c r="M14" s="5"/>
      <c r="N14" s="2"/>
      <c r="O14" s="3"/>
      <c r="P14" s="1"/>
      <c r="Q14" s="6"/>
      <c r="S14" s="17">
        <v>13</v>
      </c>
      <c r="T14" s="17" t="s">
        <v>13</v>
      </c>
    </row>
    <row r="15" spans="1:20" ht="21.45" customHeight="1" x14ac:dyDescent="0.45">
      <c r="A15" s="5"/>
      <c r="B15" s="4"/>
      <c r="C15" s="28">
        <v>1</v>
      </c>
      <c r="D15" s="4"/>
      <c r="E15" s="6"/>
      <c r="G15" s="7"/>
      <c r="H15" s="4"/>
      <c r="I15" s="28">
        <v>3</v>
      </c>
      <c r="J15" s="4"/>
      <c r="K15" s="6"/>
      <c r="M15" s="7"/>
      <c r="N15" s="4"/>
      <c r="O15" s="28">
        <v>6</v>
      </c>
      <c r="P15" s="4"/>
      <c r="Q15" s="6"/>
      <c r="S15" s="17">
        <v>14</v>
      </c>
      <c r="T15" s="17" t="s">
        <v>14</v>
      </c>
    </row>
    <row r="16" spans="1:20" s="17" customFormat="1" ht="34.950000000000003" customHeight="1" x14ac:dyDescent="0.45">
      <c r="A16" s="24">
        <v>31</v>
      </c>
      <c r="B16" s="25" t="str">
        <f>VLOOKUP(A16,$S$2:$T$35,2)</f>
        <v>藤原せいご</v>
      </c>
      <c r="C16" s="19"/>
      <c r="D16" s="26">
        <v>16</v>
      </c>
      <c r="E16" s="27" t="str">
        <f>VLOOKUP(D16,$S$2:$T$35,2)</f>
        <v>佐藤べに</v>
      </c>
      <c r="G16" s="18">
        <v>11</v>
      </c>
      <c r="H16" s="25" t="str">
        <f>VLOOKUP(G16,$S$2:$T$35,2)</f>
        <v>久野よしあき</v>
      </c>
      <c r="I16" s="19"/>
      <c r="J16" s="26">
        <v>32</v>
      </c>
      <c r="K16" s="27" t="str">
        <f>VLOOKUP(J16,$S$2:$T$35,2)</f>
        <v>牧野そうた</v>
      </c>
      <c r="M16" s="18">
        <v>14</v>
      </c>
      <c r="N16" s="25" t="str">
        <f>VLOOKUP(M16,$S$2:$T$35,2)</f>
        <v>宰川そら</v>
      </c>
      <c r="O16" s="19"/>
      <c r="P16" s="26">
        <v>1</v>
      </c>
      <c r="Q16" s="27" t="str">
        <f>VLOOKUP(P16,$S$2:$T$35,2)</f>
        <v>青池すみれ</v>
      </c>
      <c r="S16" s="17">
        <v>15</v>
      </c>
      <c r="T16" s="17" t="s">
        <v>15</v>
      </c>
    </row>
    <row r="17" spans="1:20" ht="34.950000000000003" customHeight="1" thickBot="1" x14ac:dyDescent="0.5">
      <c r="A17" s="8"/>
      <c r="B17" s="9"/>
      <c r="C17" s="10"/>
      <c r="D17" s="11"/>
      <c r="E17" s="12"/>
      <c r="G17" s="8"/>
      <c r="H17" s="9"/>
      <c r="I17" s="10"/>
      <c r="J17" s="11"/>
      <c r="K17" s="12"/>
      <c r="M17" s="8"/>
      <c r="N17" s="9"/>
      <c r="O17" s="10"/>
      <c r="P17" s="11"/>
      <c r="Q17" s="12"/>
      <c r="S17" s="17">
        <v>16</v>
      </c>
      <c r="T17" s="17" t="s">
        <v>16</v>
      </c>
    </row>
    <row r="18" spans="1:20" ht="35.700000000000003" customHeight="1" x14ac:dyDescent="0.45">
      <c r="S18" s="17">
        <v>17</v>
      </c>
      <c r="T18" s="17" t="s">
        <v>17</v>
      </c>
    </row>
    <row r="19" spans="1:20" ht="35.700000000000003" customHeight="1" x14ac:dyDescent="0.45">
      <c r="S19" s="17">
        <v>18</v>
      </c>
      <c r="T19" s="17" t="s">
        <v>18</v>
      </c>
    </row>
    <row r="20" spans="1:20" ht="35.700000000000003" customHeight="1" x14ac:dyDescent="0.45">
      <c r="S20" s="17">
        <v>19</v>
      </c>
      <c r="T20" s="17" t="s">
        <v>19</v>
      </c>
    </row>
    <row r="21" spans="1:20" ht="35.700000000000003" customHeight="1" x14ac:dyDescent="0.45">
      <c r="S21" s="17">
        <v>20</v>
      </c>
      <c r="T21" s="17" t="s">
        <v>20</v>
      </c>
    </row>
    <row r="22" spans="1:20" ht="35.700000000000003" customHeight="1" x14ac:dyDescent="0.45">
      <c r="S22" s="17">
        <v>21</v>
      </c>
      <c r="T22" s="17" t="s">
        <v>21</v>
      </c>
    </row>
    <row r="23" spans="1:20" ht="35.700000000000003" customHeight="1" x14ac:dyDescent="0.45">
      <c r="S23" s="17">
        <v>22</v>
      </c>
      <c r="T23" s="17" t="s">
        <v>22</v>
      </c>
    </row>
    <row r="24" spans="1:20" ht="35.700000000000003" customHeight="1" x14ac:dyDescent="0.45">
      <c r="S24" s="17">
        <v>23</v>
      </c>
      <c r="T24" s="17" t="s">
        <v>23</v>
      </c>
    </row>
    <row r="25" spans="1:20" ht="35.700000000000003" customHeight="1" x14ac:dyDescent="0.45">
      <c r="S25" s="17">
        <v>24</v>
      </c>
      <c r="T25" s="17" t="s">
        <v>24</v>
      </c>
    </row>
    <row r="26" spans="1:20" ht="35.700000000000003" customHeight="1" x14ac:dyDescent="0.45">
      <c r="S26" s="17">
        <v>25</v>
      </c>
      <c r="T26" s="17" t="s">
        <v>25</v>
      </c>
    </row>
    <row r="27" spans="1:20" ht="35.700000000000003" customHeight="1" x14ac:dyDescent="0.45">
      <c r="S27" s="17">
        <v>26</v>
      </c>
      <c r="T27" s="17" t="s">
        <v>26</v>
      </c>
    </row>
    <row r="28" spans="1:20" ht="35.700000000000003" customHeight="1" x14ac:dyDescent="0.45">
      <c r="S28" s="17">
        <v>27</v>
      </c>
      <c r="T28" s="17" t="s">
        <v>27</v>
      </c>
    </row>
    <row r="29" spans="1:20" ht="35.700000000000003" customHeight="1" x14ac:dyDescent="0.45">
      <c r="S29" s="17">
        <v>28</v>
      </c>
      <c r="T29" s="17" t="s">
        <v>28</v>
      </c>
    </row>
    <row r="30" spans="1:20" ht="35.700000000000003" customHeight="1" x14ac:dyDescent="0.45">
      <c r="S30" s="17">
        <v>29</v>
      </c>
      <c r="T30" s="17" t="s">
        <v>29</v>
      </c>
    </row>
    <row r="31" spans="1:20" ht="35.700000000000003" customHeight="1" x14ac:dyDescent="0.45">
      <c r="S31" s="17">
        <v>30</v>
      </c>
      <c r="T31" s="17" t="s">
        <v>30</v>
      </c>
    </row>
    <row r="32" spans="1:20" ht="35.700000000000003" customHeight="1" x14ac:dyDescent="0.45">
      <c r="S32" s="17">
        <v>31</v>
      </c>
      <c r="T32" s="17" t="s">
        <v>31</v>
      </c>
    </row>
    <row r="33" spans="19:20" ht="35.700000000000003" customHeight="1" x14ac:dyDescent="0.45">
      <c r="S33" s="17">
        <v>32</v>
      </c>
      <c r="T33" s="17" t="s">
        <v>32</v>
      </c>
    </row>
    <row r="34" spans="19:20" ht="35.700000000000003" customHeight="1" x14ac:dyDescent="0.45">
      <c r="S34" s="17">
        <v>33</v>
      </c>
      <c r="T34" s="17" t="s">
        <v>33</v>
      </c>
    </row>
  </sheetData>
  <mergeCells count="1">
    <mergeCell ref="F4:F5"/>
  </mergeCells>
  <phoneticPr fontId="1"/>
  <pageMargins left="0.25" right="0.25" top="0.33" bottom="0.05" header="0.37" footer="0.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92D8-C3B0-41CF-80BD-C159E8B29F64}">
  <dimension ref="A1:T34"/>
  <sheetViews>
    <sheetView tabSelected="1" view="pageBreakPreview" zoomScale="59" zoomScaleNormal="87" zoomScaleSheetLayoutView="70" workbookViewId="0">
      <selection activeCell="P17" sqref="P17"/>
    </sheetView>
  </sheetViews>
  <sheetFormatPr defaultRowHeight="35.700000000000003" customHeight="1" x14ac:dyDescent="0.45"/>
  <cols>
    <col min="1" max="1" width="5" customWidth="1"/>
    <col min="2" max="2" width="12.19921875" customWidth="1"/>
    <col min="3" max="3" width="2.09765625" customWidth="1"/>
    <col min="4" max="4" width="5" customWidth="1"/>
    <col min="5" max="5" width="12.19921875" customWidth="1"/>
    <col min="7" max="7" width="5" customWidth="1"/>
    <col min="8" max="8" width="12.19921875" customWidth="1"/>
    <col min="9" max="9" width="2.09765625" customWidth="1"/>
    <col min="10" max="10" width="5" customWidth="1"/>
    <col min="11" max="11" width="12.19921875" customWidth="1"/>
    <col min="13" max="13" width="5" customWidth="1"/>
    <col min="14" max="14" width="12.19921875" customWidth="1"/>
    <col min="15" max="15" width="2.09765625" customWidth="1"/>
    <col min="16" max="16" width="5" customWidth="1"/>
    <col min="17" max="17" width="12.19921875" customWidth="1"/>
    <col min="19" max="20" width="8.796875" style="17"/>
  </cols>
  <sheetData>
    <row r="1" spans="1:20" s="17" customFormat="1" ht="34.950000000000003" customHeight="1" x14ac:dyDescent="0.45">
      <c r="A1" s="20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M1" s="13">
        <v>19</v>
      </c>
      <c r="N1" s="14" t="str">
        <f>VLOOKUP(M1,$S$2:$T$35,2)</f>
        <v>鈴木ことな</v>
      </c>
      <c r="O1" s="15"/>
      <c r="P1" s="16">
        <v>31</v>
      </c>
      <c r="Q1" s="23" t="str">
        <f>VLOOKUP(P1,$S$2:$T$35,2)</f>
        <v>藤原せいご</v>
      </c>
    </row>
    <row r="2" spans="1:20" ht="34.950000000000003" customHeight="1" x14ac:dyDescent="0.45">
      <c r="A2" s="1"/>
      <c r="B2" s="4"/>
      <c r="C2" s="4"/>
      <c r="D2" s="4"/>
      <c r="E2" s="4"/>
      <c r="F2" s="4"/>
      <c r="G2" s="4"/>
      <c r="H2" s="4"/>
      <c r="I2" s="4"/>
      <c r="J2" s="4"/>
      <c r="K2" s="2"/>
      <c r="M2" s="5"/>
      <c r="N2" s="2"/>
      <c r="O2" s="3"/>
      <c r="P2" s="1"/>
      <c r="Q2" s="6"/>
      <c r="S2" s="17">
        <v>1</v>
      </c>
      <c r="T2" s="17" t="s">
        <v>1</v>
      </c>
    </row>
    <row r="3" spans="1:20" ht="21.45" customHeight="1" thickBot="1" x14ac:dyDescent="0.5">
      <c r="M3" s="7"/>
      <c r="N3" s="4"/>
      <c r="O3" s="28">
        <v>8</v>
      </c>
      <c r="P3" s="4"/>
      <c r="Q3" s="6"/>
      <c r="S3" s="17">
        <v>2</v>
      </c>
      <c r="T3" s="17" t="s">
        <v>2</v>
      </c>
    </row>
    <row r="4" spans="1:20" s="17" customFormat="1" ht="34.950000000000003" customHeight="1" x14ac:dyDescent="0.45">
      <c r="A4" s="13">
        <v>4</v>
      </c>
      <c r="B4" s="14" t="str">
        <f>VLOOKUP(A4,$S$2:$T$35,2)</f>
        <v>磯部あさひ</v>
      </c>
      <c r="C4" s="15"/>
      <c r="D4" s="16">
        <v>15</v>
      </c>
      <c r="E4" s="14" t="str">
        <f>VLOOKUP(D4,$S$2:$T$35,2)</f>
        <v>坂口あやせ</v>
      </c>
      <c r="F4" s="29">
        <v>5</v>
      </c>
      <c r="G4" s="16">
        <v>20</v>
      </c>
      <c r="H4" s="14" t="str">
        <f>VLOOKUP(G4,$S$2:$T$35,2)</f>
        <v>鈴木はるま</v>
      </c>
      <c r="I4" s="15"/>
      <c r="J4" s="16">
        <v>30</v>
      </c>
      <c r="K4" s="23" t="str">
        <f>VLOOKUP(J4,$S$2:$T$35,2)</f>
        <v>藤森あおい</v>
      </c>
      <c r="M4" s="18">
        <v>13</v>
      </c>
      <c r="N4" s="25" t="str">
        <f>VLOOKUP(M4,$S$2:$T$35,2)</f>
        <v>小林ふうが</v>
      </c>
      <c r="O4" s="19"/>
      <c r="P4" s="26">
        <v>1</v>
      </c>
      <c r="Q4" s="27" t="str">
        <f>VLOOKUP(P4,$S$2:$T$35,2)</f>
        <v>青池すみれ</v>
      </c>
      <c r="S4" s="17">
        <v>3</v>
      </c>
      <c r="T4" s="17" t="s">
        <v>3</v>
      </c>
    </row>
    <row r="5" spans="1:20" ht="34.950000000000003" customHeight="1" thickBot="1" x14ac:dyDescent="0.5">
      <c r="A5" s="8"/>
      <c r="B5" s="9"/>
      <c r="C5" s="10"/>
      <c r="D5" s="11"/>
      <c r="E5" s="9"/>
      <c r="F5" s="30"/>
      <c r="G5" s="11"/>
      <c r="H5" s="9"/>
      <c r="I5" s="10"/>
      <c r="J5" s="11"/>
      <c r="K5" s="12"/>
      <c r="M5" s="8"/>
      <c r="N5" s="9"/>
      <c r="O5" s="10"/>
      <c r="P5" s="11"/>
      <c r="Q5" s="12"/>
      <c r="S5" s="17">
        <v>4</v>
      </c>
      <c r="T5" s="17" t="s">
        <v>4</v>
      </c>
    </row>
    <row r="6" spans="1:20" ht="21.45" customHeight="1" thickBot="1" x14ac:dyDescent="0.5">
      <c r="S6" s="17">
        <v>5</v>
      </c>
      <c r="T6" s="17" t="s">
        <v>5</v>
      </c>
    </row>
    <row r="7" spans="1:20" s="17" customFormat="1" ht="34.950000000000003" customHeight="1" x14ac:dyDescent="0.45">
      <c r="A7" s="13">
        <v>21</v>
      </c>
      <c r="B7" s="14" t="str">
        <f>VLOOKUP(A7,$S$2:$T$35,2)</f>
        <v>須山さくら</v>
      </c>
      <c r="C7" s="15"/>
      <c r="D7" s="16">
        <v>24</v>
      </c>
      <c r="E7" s="23" t="str">
        <f>VLOOKUP(D7,$S$2:$T$35,2)</f>
        <v>坪井はるき</v>
      </c>
      <c r="G7" s="13">
        <v>5</v>
      </c>
      <c r="H7" s="14" t="str">
        <f>VLOOKUP(G7,$S$2:$T$35,2)</f>
        <v>岩田しの</v>
      </c>
      <c r="I7" s="15"/>
      <c r="J7" s="16">
        <v>33</v>
      </c>
      <c r="K7" s="23" t="str">
        <f>VLOOKUP(J7,$S$2:$T$35,2)</f>
        <v>山田りく</v>
      </c>
      <c r="M7" s="13">
        <v>17</v>
      </c>
      <c r="N7" s="14" t="str">
        <f>VLOOKUP(M7,$S$2:$T$35,2)</f>
        <v>清水りお</v>
      </c>
      <c r="O7" s="15"/>
      <c r="P7" s="16">
        <v>10</v>
      </c>
      <c r="Q7" s="23" t="str">
        <f>VLOOKUP(P7,$S$2:$T$35,2)</f>
        <v>木下なつき</v>
      </c>
      <c r="S7" s="17">
        <v>6</v>
      </c>
      <c r="T7" s="17" t="s">
        <v>6</v>
      </c>
    </row>
    <row r="8" spans="1:20" ht="34.950000000000003" customHeight="1" x14ac:dyDescent="0.45">
      <c r="A8" s="5"/>
      <c r="B8" s="2"/>
      <c r="C8" s="3"/>
      <c r="D8" s="1"/>
      <c r="E8" s="6"/>
      <c r="G8" s="5"/>
      <c r="H8" s="2"/>
      <c r="I8" s="3"/>
      <c r="J8" s="1"/>
      <c r="K8" s="6"/>
      <c r="M8" s="5"/>
      <c r="N8" s="2"/>
      <c r="O8" s="3"/>
      <c r="P8" s="1"/>
      <c r="Q8" s="6"/>
      <c r="S8" s="17">
        <v>7</v>
      </c>
      <c r="T8" s="17" t="s">
        <v>7</v>
      </c>
    </row>
    <row r="9" spans="1:20" ht="21.45" customHeight="1" x14ac:dyDescent="0.45">
      <c r="A9" s="5"/>
      <c r="B9" s="4"/>
      <c r="C9" s="28">
        <v>2</v>
      </c>
      <c r="D9" s="4"/>
      <c r="E9" s="6"/>
      <c r="G9" s="7"/>
      <c r="H9" s="4"/>
      <c r="I9" s="28">
        <v>4</v>
      </c>
      <c r="J9" s="4"/>
      <c r="K9" s="6"/>
      <c r="M9" s="7"/>
      <c r="N9" s="4"/>
      <c r="O9" s="28">
        <v>7</v>
      </c>
      <c r="P9" s="4"/>
      <c r="Q9" s="6"/>
      <c r="S9" s="17">
        <v>8</v>
      </c>
      <c r="T9" s="17" t="s">
        <v>8</v>
      </c>
    </row>
    <row r="10" spans="1:20" s="17" customFormat="1" ht="34.950000000000003" customHeight="1" x14ac:dyDescent="0.45">
      <c r="A10" s="24">
        <v>12</v>
      </c>
      <c r="B10" s="25" t="str">
        <f>VLOOKUP(A10,$S$2:$T$35,2)</f>
        <v>小林だいち</v>
      </c>
      <c r="C10" s="19"/>
      <c r="D10" s="26">
        <v>8</v>
      </c>
      <c r="E10" s="27" t="str">
        <f>VLOOKUP(D10,$S$2:$T$35,2)</f>
        <v>大橋すい</v>
      </c>
      <c r="G10" s="18">
        <v>2</v>
      </c>
      <c r="H10" s="25" t="str">
        <f>VLOOKUP(G10,$S$2:$T$35,2)</f>
        <v>井口しゅう</v>
      </c>
      <c r="I10" s="19"/>
      <c r="J10" s="26">
        <v>18</v>
      </c>
      <c r="K10" s="27" t="str">
        <f>VLOOKUP(J10,$S$2:$T$35,2)</f>
        <v>庄古あかり</v>
      </c>
      <c r="M10" s="18">
        <v>28</v>
      </c>
      <c r="N10" s="25" t="str">
        <f>VLOOKUP(M10,$S$2:$T$35,2)</f>
        <v>中沢けんじ</v>
      </c>
      <c r="O10" s="19"/>
      <c r="P10" s="26">
        <v>6</v>
      </c>
      <c r="Q10" s="27" t="str">
        <f>VLOOKUP(P10,$S$2:$T$35,2)</f>
        <v>江藤ひいらぎ</v>
      </c>
      <c r="S10" s="17">
        <v>9</v>
      </c>
      <c r="T10" s="17" t="s">
        <v>9</v>
      </c>
    </row>
    <row r="11" spans="1:20" ht="34.950000000000003" customHeight="1" thickBot="1" x14ac:dyDescent="0.5">
      <c r="A11" s="8"/>
      <c r="B11" s="9"/>
      <c r="C11" s="10"/>
      <c r="D11" s="11"/>
      <c r="E11" s="12"/>
      <c r="G11" s="8"/>
      <c r="H11" s="9"/>
      <c r="I11" s="10"/>
      <c r="J11" s="11"/>
      <c r="K11" s="12"/>
      <c r="M11" s="8"/>
      <c r="N11" s="9"/>
      <c r="O11" s="10"/>
      <c r="P11" s="11"/>
      <c r="Q11" s="12"/>
      <c r="S11" s="17">
        <v>10</v>
      </c>
      <c r="T11" s="17" t="s">
        <v>10</v>
      </c>
    </row>
    <row r="12" spans="1:20" ht="21.45" customHeight="1" thickBot="1" x14ac:dyDescent="0.5">
      <c r="S12" s="17">
        <v>11</v>
      </c>
      <c r="T12" s="17" t="s">
        <v>11</v>
      </c>
    </row>
    <row r="13" spans="1:20" s="17" customFormat="1" ht="34.950000000000003" customHeight="1" x14ac:dyDescent="0.45">
      <c r="A13" s="13">
        <v>16</v>
      </c>
      <c r="B13" s="14" t="str">
        <f>VLOOKUP(A13,$S$2:$T$35,2)</f>
        <v>佐藤べに</v>
      </c>
      <c r="C13" s="15"/>
      <c r="D13" s="16">
        <v>11</v>
      </c>
      <c r="E13" s="23" t="str">
        <f>VLOOKUP(D13,$S$2:$T$35,2)</f>
        <v>久野よしあき</v>
      </c>
      <c r="G13" s="13">
        <v>25</v>
      </c>
      <c r="H13" s="14" t="str">
        <f>VLOOKUP(G13,$S$2:$T$35,2)</f>
        <v>鶴巻りおな</v>
      </c>
      <c r="I13" s="15"/>
      <c r="J13" s="16">
        <v>27</v>
      </c>
      <c r="K13" s="23" t="str">
        <f>VLOOKUP(J13,$S$2:$T$35,2)</f>
        <v>永井りょうま</v>
      </c>
      <c r="M13" s="13">
        <v>29</v>
      </c>
      <c r="N13" s="14" t="str">
        <f>VLOOKUP(M13,$S$2:$T$35,2)</f>
        <v>中津川みあ</v>
      </c>
      <c r="O13" s="15"/>
      <c r="P13" s="16">
        <v>7</v>
      </c>
      <c r="Q13" s="23" t="str">
        <f>VLOOKUP(P13,$S$2:$T$35,2)</f>
        <v>大場はるた</v>
      </c>
      <c r="S13" s="17">
        <v>12</v>
      </c>
      <c r="T13" s="17" t="s">
        <v>12</v>
      </c>
    </row>
    <row r="14" spans="1:20" ht="34.950000000000003" customHeight="1" x14ac:dyDescent="0.45">
      <c r="A14" s="5"/>
      <c r="B14" s="2"/>
      <c r="C14" s="3"/>
      <c r="D14" s="1"/>
      <c r="E14" s="6"/>
      <c r="G14" s="5"/>
      <c r="H14" s="2"/>
      <c r="I14" s="3"/>
      <c r="J14" s="1"/>
      <c r="K14" s="6"/>
      <c r="M14" s="5"/>
      <c r="N14" s="2"/>
      <c r="O14" s="3"/>
      <c r="P14" s="1"/>
      <c r="Q14" s="6"/>
      <c r="S14" s="17">
        <v>13</v>
      </c>
      <c r="T14" s="17" t="s">
        <v>13</v>
      </c>
    </row>
    <row r="15" spans="1:20" ht="21.45" customHeight="1" x14ac:dyDescent="0.45">
      <c r="A15" s="5"/>
      <c r="B15" s="4"/>
      <c r="C15" s="28">
        <v>1</v>
      </c>
      <c r="D15" s="4"/>
      <c r="E15" s="6"/>
      <c r="G15" s="7"/>
      <c r="H15" s="4"/>
      <c r="I15" s="28">
        <v>3</v>
      </c>
      <c r="J15" s="4"/>
      <c r="K15" s="6"/>
      <c r="M15" s="7"/>
      <c r="N15" s="4"/>
      <c r="O15" s="28">
        <v>6</v>
      </c>
      <c r="P15" s="4"/>
      <c r="Q15" s="6"/>
      <c r="S15" s="17">
        <v>14</v>
      </c>
      <c r="T15" s="17" t="s">
        <v>14</v>
      </c>
    </row>
    <row r="16" spans="1:20" s="17" customFormat="1" ht="34.950000000000003" customHeight="1" x14ac:dyDescent="0.45">
      <c r="A16" s="24">
        <v>9</v>
      </c>
      <c r="B16" s="25" t="str">
        <f>VLOOKUP(A16,$S$2:$T$35,2)</f>
        <v>川島ゆうや</v>
      </c>
      <c r="C16" s="19"/>
      <c r="D16" s="26">
        <v>26</v>
      </c>
      <c r="E16" s="27" t="str">
        <f>VLOOKUP(D16,$S$2:$T$35,2)</f>
        <v>豊田ひな</v>
      </c>
      <c r="G16" s="18">
        <v>14</v>
      </c>
      <c r="H16" s="25" t="str">
        <f>VLOOKUP(G16,$S$2:$T$35,2)</f>
        <v>宰川そら</v>
      </c>
      <c r="I16" s="19"/>
      <c r="J16" s="26">
        <v>32</v>
      </c>
      <c r="K16" s="27" t="str">
        <f>VLOOKUP(J16,$S$2:$T$35,2)</f>
        <v>牧野そうた</v>
      </c>
      <c r="M16" s="18">
        <v>3</v>
      </c>
      <c r="N16" s="25" t="str">
        <f>VLOOKUP(M16,$S$2:$T$35,2)</f>
        <v>池田けんしん</v>
      </c>
      <c r="O16" s="19"/>
      <c r="P16" s="26">
        <v>22</v>
      </c>
      <c r="Q16" s="27" t="str">
        <f>VLOOKUP(P16,$S$2:$T$35,2)</f>
        <v>田中ゆずほ</v>
      </c>
      <c r="S16" s="17">
        <v>15</v>
      </c>
      <c r="T16" s="17" t="s">
        <v>15</v>
      </c>
    </row>
    <row r="17" spans="1:20" ht="34.950000000000003" customHeight="1" thickBot="1" x14ac:dyDescent="0.5">
      <c r="A17" s="8"/>
      <c r="B17" s="9"/>
      <c r="C17" s="10"/>
      <c r="D17" s="11"/>
      <c r="E17" s="12"/>
      <c r="G17" s="8"/>
      <c r="H17" s="9"/>
      <c r="I17" s="10"/>
      <c r="J17" s="11"/>
      <c r="K17" s="12"/>
      <c r="M17" s="8"/>
      <c r="N17" s="9"/>
      <c r="O17" s="10"/>
      <c r="P17" s="11"/>
      <c r="Q17" s="12"/>
      <c r="S17" s="17">
        <v>16</v>
      </c>
      <c r="T17" s="17" t="s">
        <v>16</v>
      </c>
    </row>
    <row r="18" spans="1:20" ht="35.700000000000003" customHeight="1" x14ac:dyDescent="0.45">
      <c r="S18" s="17">
        <v>17</v>
      </c>
      <c r="T18" s="17" t="s">
        <v>17</v>
      </c>
    </row>
    <row r="19" spans="1:20" ht="35.700000000000003" customHeight="1" x14ac:dyDescent="0.45">
      <c r="S19" s="17">
        <v>18</v>
      </c>
      <c r="T19" s="17" t="s">
        <v>18</v>
      </c>
    </row>
    <row r="20" spans="1:20" ht="35.700000000000003" customHeight="1" x14ac:dyDescent="0.45">
      <c r="S20" s="17">
        <v>19</v>
      </c>
      <c r="T20" s="17" t="s">
        <v>19</v>
      </c>
    </row>
    <row r="21" spans="1:20" ht="35.700000000000003" customHeight="1" x14ac:dyDescent="0.45">
      <c r="S21" s="17">
        <v>20</v>
      </c>
      <c r="T21" s="17" t="s">
        <v>20</v>
      </c>
    </row>
    <row r="22" spans="1:20" ht="35.700000000000003" customHeight="1" x14ac:dyDescent="0.45">
      <c r="S22" s="17">
        <v>21</v>
      </c>
      <c r="T22" s="17" t="s">
        <v>21</v>
      </c>
    </row>
    <row r="23" spans="1:20" ht="35.700000000000003" customHeight="1" x14ac:dyDescent="0.45">
      <c r="S23" s="17">
        <v>22</v>
      </c>
      <c r="T23" s="17" t="s">
        <v>22</v>
      </c>
    </row>
    <row r="24" spans="1:20" ht="35.700000000000003" customHeight="1" x14ac:dyDescent="0.45">
      <c r="S24" s="17">
        <v>23</v>
      </c>
      <c r="T24" s="17" t="s">
        <v>23</v>
      </c>
    </row>
    <row r="25" spans="1:20" ht="35.700000000000003" customHeight="1" x14ac:dyDescent="0.45">
      <c r="S25" s="17">
        <v>24</v>
      </c>
      <c r="T25" s="17" t="s">
        <v>24</v>
      </c>
    </row>
    <row r="26" spans="1:20" ht="35.700000000000003" customHeight="1" x14ac:dyDescent="0.45">
      <c r="S26" s="17">
        <v>25</v>
      </c>
      <c r="T26" s="17" t="s">
        <v>25</v>
      </c>
    </row>
    <row r="27" spans="1:20" ht="35.700000000000003" customHeight="1" x14ac:dyDescent="0.45">
      <c r="S27" s="17">
        <v>26</v>
      </c>
      <c r="T27" s="17" t="s">
        <v>26</v>
      </c>
    </row>
    <row r="28" spans="1:20" ht="35.700000000000003" customHeight="1" x14ac:dyDescent="0.45">
      <c r="S28" s="17">
        <v>27</v>
      </c>
      <c r="T28" s="17" t="s">
        <v>27</v>
      </c>
    </row>
    <row r="29" spans="1:20" ht="35.700000000000003" customHeight="1" x14ac:dyDescent="0.45">
      <c r="S29" s="17">
        <v>28</v>
      </c>
      <c r="T29" s="17" t="s">
        <v>28</v>
      </c>
    </row>
    <row r="30" spans="1:20" ht="35.700000000000003" customHeight="1" x14ac:dyDescent="0.45">
      <c r="S30" s="17">
        <v>29</v>
      </c>
      <c r="T30" s="17" t="s">
        <v>29</v>
      </c>
    </row>
    <row r="31" spans="1:20" ht="35.700000000000003" customHeight="1" x14ac:dyDescent="0.45">
      <c r="S31" s="17">
        <v>30</v>
      </c>
      <c r="T31" s="17" t="s">
        <v>30</v>
      </c>
    </row>
    <row r="32" spans="1:20" ht="35.700000000000003" customHeight="1" x14ac:dyDescent="0.45">
      <c r="S32" s="17">
        <v>31</v>
      </c>
      <c r="T32" s="17" t="s">
        <v>31</v>
      </c>
    </row>
    <row r="33" spans="19:20" ht="35.700000000000003" customHeight="1" x14ac:dyDescent="0.45">
      <c r="S33" s="17">
        <v>32</v>
      </c>
      <c r="T33" s="17" t="s">
        <v>32</v>
      </c>
    </row>
    <row r="34" spans="19:20" ht="35.700000000000003" customHeight="1" x14ac:dyDescent="0.45">
      <c r="S34" s="17">
        <v>33</v>
      </c>
      <c r="T34" s="17" t="s">
        <v>33</v>
      </c>
    </row>
  </sheetData>
  <mergeCells count="1">
    <mergeCell ref="F4:F5"/>
  </mergeCells>
  <phoneticPr fontId="1"/>
  <pageMargins left="0.25" right="0.25" top="0.33" bottom="0.05" header="0.37" footer="0.2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5.8</vt:lpstr>
      <vt:lpstr>6.24</vt:lpstr>
      <vt:lpstr>'5.8'!Print_Area</vt:lpstr>
      <vt:lpstr>'6.24'!Print_Area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Satoko H</dc:creator>
  <cp:lastModifiedBy>HGA-E-TT05</cp:lastModifiedBy>
  <cp:lastPrinted>2026-07-09T06:50:56Z</cp:lastPrinted>
  <dcterms:created xsi:type="dcterms:W3CDTF">2026-05-10T17:31:11Z</dcterms:created>
  <dcterms:modified xsi:type="dcterms:W3CDTF">2026-07-09T06:52:24Z</dcterms:modified>
</cp:coreProperties>
</file>