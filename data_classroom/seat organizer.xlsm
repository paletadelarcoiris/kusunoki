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ars\Desktop\"/>
    </mc:Choice>
  </mc:AlternateContent>
  <xr:revisionPtr revIDLastSave="0" documentId="13_ncr:1_{289E5B04-E050-4234-A483-442B78530C2F}" xr6:coauthVersionLast="47" xr6:coauthVersionMax="47" xr10:uidLastSave="{00000000-0000-0000-0000-000000000000}"/>
  <bookViews>
    <workbookView xWindow="8" yWindow="8" windowWidth="20505" windowHeight="13065" activeTab="1" xr2:uid="{9AA97CFE-F436-42D9-81E1-9BA2ADD878B7}"/>
  </bookViews>
  <sheets>
    <sheet name="設定" sheetId="4" r:id="rId1"/>
    <sheet name="座席表もと" sheetId="11" r:id="rId2"/>
    <sheet name="9.1" sheetId="3" r:id="rId3"/>
    <sheet name="6.24" sheetId="2" r:id="rId4"/>
    <sheet name="5.8" sheetId="1" r:id="rId5"/>
  </sheets>
  <definedNames>
    <definedName name="_xlnm.Print_Area" localSheetId="4">'5.8'!$A$1:$Q$17</definedName>
    <definedName name="_xlnm.Print_Area" localSheetId="3">'6.24'!$A$1:$Q$34</definedName>
    <definedName name="_xlnm.Print_Area" localSheetId="2">'9.1'!$A$1:$Q$17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1" l="1"/>
  <c r="N4" i="11"/>
  <c r="Q1" i="11"/>
  <c r="N1" i="11"/>
  <c r="Q10" i="11"/>
  <c r="N10" i="11"/>
  <c r="Q7" i="11"/>
  <c r="N7" i="11"/>
  <c r="Q16" i="11"/>
  <c r="N16" i="11"/>
  <c r="Q13" i="11"/>
  <c r="N13" i="11"/>
  <c r="K16" i="11"/>
  <c r="H16" i="11"/>
  <c r="K13" i="11"/>
  <c r="H13" i="11"/>
  <c r="K10" i="11"/>
  <c r="H10" i="11"/>
  <c r="K7" i="11"/>
  <c r="H7" i="11"/>
  <c r="E16" i="11"/>
  <c r="B16" i="11"/>
  <c r="E13" i="11"/>
  <c r="B13" i="11"/>
  <c r="E7" i="11"/>
  <c r="E10" i="11"/>
  <c r="B10" i="11"/>
  <c r="K4" i="11"/>
  <c r="H4" i="11"/>
  <c r="E4" i="11"/>
  <c r="B7" i="11"/>
  <c r="B4" i="11"/>
  <c r="I22" i="4"/>
  <c r="I21" i="4"/>
  <c r="I20" i="4"/>
  <c r="I19" i="4"/>
  <c r="I18" i="4"/>
  <c r="I17" i="4"/>
  <c r="G22" i="4"/>
  <c r="G21" i="4"/>
  <c r="G20" i="4"/>
  <c r="G19" i="4"/>
  <c r="G18" i="4"/>
  <c r="G17" i="4"/>
  <c r="Q16" i="3"/>
  <c r="N16" i="3"/>
  <c r="K16" i="3"/>
  <c r="H16" i="3"/>
  <c r="E16" i="3"/>
  <c r="B16" i="3"/>
  <c r="Q13" i="3"/>
  <c r="N13" i="3"/>
  <c r="K13" i="3"/>
  <c r="H13" i="3"/>
  <c r="E13" i="3"/>
  <c r="B13" i="3"/>
  <c r="Q10" i="3"/>
  <c r="N10" i="3"/>
  <c r="K10" i="3"/>
  <c r="H10" i="3"/>
  <c r="E10" i="3"/>
  <c r="B10" i="3"/>
  <c r="Q7" i="3"/>
  <c r="N7" i="3"/>
  <c r="K7" i="3"/>
  <c r="H7" i="3"/>
  <c r="E7" i="3"/>
  <c r="B7" i="3"/>
  <c r="Q4" i="3"/>
  <c r="N4" i="3"/>
  <c r="K4" i="3"/>
  <c r="H4" i="3"/>
  <c r="E4" i="3"/>
  <c r="B4" i="3"/>
  <c r="Q1" i="3"/>
  <c r="N1" i="3"/>
  <c r="Q16" i="2"/>
  <c r="N16" i="2"/>
  <c r="K16" i="2"/>
  <c r="H16" i="2"/>
  <c r="E16" i="2"/>
  <c r="B16" i="2"/>
  <c r="Q13" i="2"/>
  <c r="N13" i="2"/>
  <c r="K13" i="2"/>
  <c r="H13" i="2"/>
  <c r="E13" i="2"/>
  <c r="B13" i="2"/>
  <c r="Q10" i="2"/>
  <c r="N10" i="2"/>
  <c r="K10" i="2"/>
  <c r="H10" i="2"/>
  <c r="E10" i="2"/>
  <c r="B10" i="2"/>
  <c r="Q7" i="2"/>
  <c r="N7" i="2"/>
  <c r="K7" i="2"/>
  <c r="H7" i="2"/>
  <c r="E7" i="2"/>
  <c r="B7" i="2"/>
  <c r="Q4" i="2"/>
  <c r="N4" i="2"/>
  <c r="K4" i="2"/>
  <c r="H4" i="2"/>
  <c r="E4" i="2"/>
  <c r="B4" i="2"/>
  <c r="Q1" i="2"/>
  <c r="N1" i="2"/>
  <c r="E16" i="1"/>
  <c r="B16" i="1"/>
  <c r="E13" i="1"/>
  <c r="B13" i="1"/>
  <c r="K16" i="1"/>
  <c r="H16" i="1"/>
  <c r="K13" i="1"/>
  <c r="H13" i="1"/>
  <c r="Q16" i="1"/>
  <c r="N16" i="1"/>
  <c r="Q13" i="1"/>
  <c r="N13" i="1"/>
  <c r="Q10" i="1"/>
  <c r="N10" i="1"/>
  <c r="Q7" i="1"/>
  <c r="N7" i="1"/>
  <c r="K10" i="1"/>
  <c r="H10" i="1"/>
  <c r="K7" i="1"/>
  <c r="H7" i="1"/>
  <c r="E10" i="1"/>
  <c r="B10" i="1"/>
  <c r="E7" i="1"/>
  <c r="B7" i="1"/>
  <c r="Q1" i="1"/>
  <c r="N1" i="1"/>
  <c r="N4" i="1"/>
  <c r="Q4" i="1"/>
  <c r="K4" i="1"/>
  <c r="H4" i="1"/>
  <c r="E4" i="1"/>
  <c r="B4" i="1"/>
</calcChain>
</file>

<file path=xl/sharedStrings.xml><?xml version="1.0" encoding="utf-8"?>
<sst xmlns="http://schemas.openxmlformats.org/spreadsheetml/2006/main" count="183" uniqueCount="50">
  <si>
    <t>月　　　日（　　　）</t>
    <rPh sb="0" eb="1">
      <t>ガツ</t>
    </rPh>
    <rPh sb="4" eb="5">
      <t>ニチ</t>
    </rPh>
    <phoneticPr fontId="1"/>
  </si>
  <si>
    <t>青池すみれ</t>
    <rPh sb="0" eb="2">
      <t>アオイケ</t>
    </rPh>
    <phoneticPr fontId="1"/>
  </si>
  <si>
    <t>井口しゅう</t>
    <rPh sb="0" eb="2">
      <t>イグチ</t>
    </rPh>
    <phoneticPr fontId="1"/>
  </si>
  <si>
    <t>池田けんしん</t>
    <rPh sb="0" eb="2">
      <t>イケダ</t>
    </rPh>
    <phoneticPr fontId="1"/>
  </si>
  <si>
    <t>磯部あさひ</t>
    <rPh sb="0" eb="2">
      <t>イソベ</t>
    </rPh>
    <phoneticPr fontId="1"/>
  </si>
  <si>
    <t>岩田しの</t>
    <rPh sb="0" eb="2">
      <t>イワタ</t>
    </rPh>
    <phoneticPr fontId="1"/>
  </si>
  <si>
    <t>江藤ひいらぎ</t>
    <rPh sb="0" eb="2">
      <t>エトウ</t>
    </rPh>
    <phoneticPr fontId="1"/>
  </si>
  <si>
    <t>大場はるた</t>
    <rPh sb="0" eb="2">
      <t>オオバ</t>
    </rPh>
    <phoneticPr fontId="1"/>
  </si>
  <si>
    <t>大橋すい</t>
    <rPh sb="0" eb="2">
      <t>オオハシ</t>
    </rPh>
    <phoneticPr fontId="1"/>
  </si>
  <si>
    <t>川島ゆうや</t>
    <rPh sb="0" eb="2">
      <t>カワシマ</t>
    </rPh>
    <phoneticPr fontId="1"/>
  </si>
  <si>
    <t>木下なつき</t>
    <rPh sb="0" eb="2">
      <t>キノシタ</t>
    </rPh>
    <phoneticPr fontId="1"/>
  </si>
  <si>
    <t>久野よしあき</t>
    <rPh sb="0" eb="2">
      <t>クノ</t>
    </rPh>
    <phoneticPr fontId="1"/>
  </si>
  <si>
    <t>小林だいち</t>
    <rPh sb="0" eb="2">
      <t>コバヤシ</t>
    </rPh>
    <phoneticPr fontId="1"/>
  </si>
  <si>
    <t>小林ふうが</t>
    <rPh sb="0" eb="2">
      <t>コバヤシ</t>
    </rPh>
    <phoneticPr fontId="1"/>
  </si>
  <si>
    <t>宰川そら</t>
    <rPh sb="0" eb="1">
      <t>サイ</t>
    </rPh>
    <rPh sb="1" eb="2">
      <t>カワ</t>
    </rPh>
    <phoneticPr fontId="1"/>
  </si>
  <si>
    <t>坂口あやせ</t>
    <rPh sb="0" eb="2">
      <t>サカグチ</t>
    </rPh>
    <phoneticPr fontId="1"/>
  </si>
  <si>
    <t>佐藤べに</t>
    <rPh sb="0" eb="2">
      <t>サトウ</t>
    </rPh>
    <phoneticPr fontId="1"/>
  </si>
  <si>
    <t>清水りお</t>
    <rPh sb="0" eb="2">
      <t>シミズ</t>
    </rPh>
    <phoneticPr fontId="1"/>
  </si>
  <si>
    <t>庄古あかり</t>
    <rPh sb="0" eb="2">
      <t>ショウコ</t>
    </rPh>
    <phoneticPr fontId="1"/>
  </si>
  <si>
    <t>鈴木ことな</t>
    <rPh sb="0" eb="2">
      <t>スズキ</t>
    </rPh>
    <phoneticPr fontId="1"/>
  </si>
  <si>
    <t>鈴木はるま</t>
    <rPh sb="0" eb="2">
      <t>スズキ</t>
    </rPh>
    <phoneticPr fontId="1"/>
  </si>
  <si>
    <t>須山さくら</t>
    <rPh sb="0" eb="2">
      <t>スヤマ</t>
    </rPh>
    <phoneticPr fontId="1"/>
  </si>
  <si>
    <t>田中ゆずほ</t>
    <rPh sb="0" eb="2">
      <t>タナカ</t>
    </rPh>
    <phoneticPr fontId="1"/>
  </si>
  <si>
    <t>土屋かいき</t>
    <rPh sb="0" eb="2">
      <t>ツチヤ</t>
    </rPh>
    <phoneticPr fontId="1"/>
  </si>
  <si>
    <t>坪井はるき</t>
    <rPh sb="0" eb="2">
      <t>ツボイ</t>
    </rPh>
    <phoneticPr fontId="1"/>
  </si>
  <si>
    <t>鶴巻りおな</t>
    <rPh sb="0" eb="2">
      <t>ツルマキ</t>
    </rPh>
    <phoneticPr fontId="1"/>
  </si>
  <si>
    <t>豊田ひな</t>
    <rPh sb="0" eb="2">
      <t>トヨダ</t>
    </rPh>
    <phoneticPr fontId="1"/>
  </si>
  <si>
    <t>永井りょうま</t>
    <rPh sb="0" eb="2">
      <t>ナガイ</t>
    </rPh>
    <phoneticPr fontId="1"/>
  </si>
  <si>
    <t>中沢けんじ</t>
    <rPh sb="0" eb="2">
      <t>ナカザワ</t>
    </rPh>
    <phoneticPr fontId="1"/>
  </si>
  <si>
    <t>中津川みあ</t>
    <rPh sb="0" eb="3">
      <t>ナカツガワ</t>
    </rPh>
    <phoneticPr fontId="1"/>
  </si>
  <si>
    <t>藤森あおい</t>
    <rPh sb="0" eb="2">
      <t>フジモリ</t>
    </rPh>
    <phoneticPr fontId="1"/>
  </si>
  <si>
    <t>藤原せいご</t>
    <rPh sb="0" eb="2">
      <t>フジワラ</t>
    </rPh>
    <phoneticPr fontId="1"/>
  </si>
  <si>
    <t>牧野そうた</t>
    <rPh sb="0" eb="2">
      <t>マキノ</t>
    </rPh>
    <phoneticPr fontId="1"/>
  </si>
  <si>
    <t>山田りく</t>
    <rPh sb="0" eb="2">
      <t>ヤマダ</t>
    </rPh>
    <phoneticPr fontId="1"/>
  </si>
  <si>
    <t>f</t>
    <phoneticPr fontId="1"/>
  </si>
  <si>
    <t>m</t>
    <phoneticPr fontId="1"/>
  </si>
  <si>
    <t>No</t>
    <phoneticPr fontId="1"/>
  </si>
  <si>
    <t>名前</t>
    <rPh sb="0" eb="2">
      <t>ナマエ</t>
    </rPh>
    <phoneticPr fontId="1"/>
  </si>
  <si>
    <t>黒板</t>
    <rPh sb="0" eb="2">
      <t>コクバン</t>
    </rPh>
    <phoneticPr fontId="1"/>
  </si>
  <si>
    <t>児童１</t>
    <rPh sb="0" eb="2">
      <t>ジドウ</t>
    </rPh>
    <phoneticPr fontId="1"/>
  </si>
  <si>
    <t>児童2</t>
    <rPh sb="0" eb="2">
      <t>ジドウ</t>
    </rPh>
    <phoneticPr fontId="1"/>
  </si>
  <si>
    <t>配置</t>
    <rPh sb="0" eb="2">
      <t>ハイチ</t>
    </rPh>
    <phoneticPr fontId="1"/>
  </si>
  <si>
    <t>距離</t>
    <rPh sb="0" eb="2">
      <t>キョリ</t>
    </rPh>
    <phoneticPr fontId="1"/>
  </si>
  <si>
    <t>前の席
希望</t>
    <rPh sb="0" eb="1">
      <t>マエ</t>
    </rPh>
    <rPh sb="2" eb="3">
      <t>セキ</t>
    </rPh>
    <rPh sb="4" eb="6">
      <t>キボウ</t>
    </rPh>
    <phoneticPr fontId="1"/>
  </si>
  <si>
    <t xml:space="preserve">性別
（M/F)  </t>
    <rPh sb="0" eb="2">
      <t>セイベツ</t>
    </rPh>
    <phoneticPr fontId="1"/>
  </si>
  <si>
    <t>使い方</t>
    <rPh sb="0" eb="1">
      <t>ツカ</t>
    </rPh>
    <rPh sb="2" eb="3">
      <t>カタ</t>
    </rPh>
    <phoneticPr fontId="1"/>
  </si>
  <si>
    <t>自由</t>
  </si>
  <si>
    <t>②席のレイアウト</t>
    <rPh sb="1" eb="2">
      <t>セキ</t>
    </rPh>
    <phoneticPr fontId="1"/>
  </si>
  <si>
    <t>③配慮</t>
    <rPh sb="1" eb="3">
      <t>ハイリョ</t>
    </rPh>
    <phoneticPr fontId="1"/>
  </si>
  <si>
    <t>①名簿を入力します。性別(男M/女F)、前の席希望(1)
②席のレイアウトをします。男女の別を関係なくしたい場合は「自由」にしてください。ない席は「空白」を選択します。
③人間関係の配慮をします。距離は前後左右に移動すると1カウントされます。前後左右は１です。
④【席替え実行】ボタンを押します。
⑤日付のシートができます。複数試したい場合はシート名を変更してください。</t>
    <rPh sb="1" eb="3">
      <t>メイボ</t>
    </rPh>
    <rPh sb="4" eb="6">
      <t>ニュウリョク</t>
    </rPh>
    <rPh sb="10" eb="12">
      <t>セイベツ</t>
    </rPh>
    <rPh sb="13" eb="14">
      <t>オトコ</t>
    </rPh>
    <rPh sb="16" eb="17">
      <t>オンナ</t>
    </rPh>
    <rPh sb="20" eb="21">
      <t>マエ</t>
    </rPh>
    <rPh sb="22" eb="23">
      <t>セキ</t>
    </rPh>
    <rPh sb="23" eb="25">
      <t>キボウ</t>
    </rPh>
    <rPh sb="30" eb="31">
      <t>セキ</t>
    </rPh>
    <rPh sb="42" eb="44">
      <t>ダンジョ</t>
    </rPh>
    <rPh sb="45" eb="46">
      <t>ベツ</t>
    </rPh>
    <rPh sb="47" eb="49">
      <t>カンケイ</t>
    </rPh>
    <rPh sb="54" eb="56">
      <t>バアイ</t>
    </rPh>
    <rPh sb="58" eb="60">
      <t>ジユウ</t>
    </rPh>
    <rPh sb="71" eb="72">
      <t>セキ</t>
    </rPh>
    <rPh sb="74" eb="76">
      <t>クウハク</t>
    </rPh>
    <rPh sb="78" eb="80">
      <t>センタク</t>
    </rPh>
    <rPh sb="86" eb="90">
      <t>ニンゲンカンケイ</t>
    </rPh>
    <rPh sb="91" eb="93">
      <t>ハイリョ</t>
    </rPh>
    <rPh sb="98" eb="100">
      <t>キョリ</t>
    </rPh>
    <rPh sb="101" eb="105">
      <t>ゼンゴサユウ</t>
    </rPh>
    <rPh sb="106" eb="108">
      <t>イドウ</t>
    </rPh>
    <rPh sb="121" eb="125">
      <t>ゼンゴサユウ</t>
    </rPh>
    <rPh sb="133" eb="135">
      <t>セキガ</t>
    </rPh>
    <rPh sb="136" eb="138">
      <t>ジッコウ</t>
    </rPh>
    <rPh sb="143" eb="144">
      <t>オ</t>
    </rPh>
    <rPh sb="150" eb="152">
      <t>ヒヅケ</t>
    </rPh>
    <rPh sb="162" eb="164">
      <t>フクスウ</t>
    </rPh>
    <rPh sb="164" eb="165">
      <t>タメ</t>
    </rPh>
    <rPh sb="168" eb="170">
      <t>バアイ</t>
    </rPh>
    <rPh sb="174" eb="175">
      <t>メイ</t>
    </rPh>
    <rPh sb="176" eb="178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</si>
</sst>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創英角ﾎﾟｯﾌﾟ体"/>
      <family val="3"/>
      <charset val="128"/>
    </font>
    <font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theme="5" tint="-0.499984740745262"/>
      </left>
      <right/>
      <top style="double">
        <color theme="5" tint="-0.499984740745262"/>
      </top>
      <bottom/>
      <diagonal/>
    </border>
    <border>
      <left/>
      <right/>
      <top style="double">
        <color theme="5" tint="-0.499984740745262"/>
      </top>
      <bottom/>
      <diagonal/>
    </border>
    <border>
      <left/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/>
      <top/>
      <bottom/>
      <diagonal/>
    </border>
    <border>
      <left/>
      <right style="double">
        <color theme="5" tint="-0.499984740745262"/>
      </right>
      <top/>
      <bottom/>
      <diagonal/>
    </border>
    <border>
      <left style="double">
        <color theme="5" tint="-0.499984740745262"/>
      </left>
      <right/>
      <top/>
      <bottom style="double">
        <color theme="5" tint="-0.499984740745262"/>
      </bottom>
      <diagonal/>
    </border>
    <border>
      <left/>
      <right/>
      <top/>
      <bottom style="double">
        <color theme="5" tint="-0.499984740745262"/>
      </bottom>
      <diagonal/>
    </border>
    <border>
      <left/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7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0" xfId="0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4" xfId="0" applyBorder="1" applyAlignment="1">
      <alignment vertical="top"/>
    </xf>
    <xf numFmtId="0" fontId="2" fillId="0" borderId="0" xfId="0" applyFont="1" applyAlignment="1">
      <alignment vertical="center" shrinkToFit="1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2" borderId="27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29" xfId="0" applyFill="1" applyBorder="1">
      <alignment vertical="center"/>
    </xf>
    <xf numFmtId="0" fontId="3" fillId="2" borderId="28" xfId="0" applyFont="1" applyFill="1" applyBorder="1" applyAlignment="1">
      <alignment horizontal="right" vertical="center"/>
    </xf>
    <xf numFmtId="0" fontId="0" fillId="0" borderId="26" xfId="0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31" xfId="0" applyBorder="1">
      <alignment vertical="center"/>
    </xf>
    <xf numFmtId="0" fontId="0" fillId="0" borderId="30" xfId="0" applyBorder="1">
      <alignment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4" borderId="35" xfId="0" applyFill="1" applyBorder="1">
      <alignment vertical="center"/>
    </xf>
    <xf numFmtId="0" fontId="0" fillId="4" borderId="37" xfId="0" applyFill="1" applyBorder="1">
      <alignment vertical="center"/>
    </xf>
    <xf numFmtId="0" fontId="0" fillId="4" borderId="39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5" borderId="7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5" borderId="25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5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3" borderId="34" xfId="0" applyFill="1" applyBorder="1" applyAlignment="1">
      <alignment horizontal="center" vertical="center" wrapText="1"/>
    </xf>
    <xf numFmtId="0" fontId="0" fillId="3" borderId="33" xfId="0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6" borderId="41" xfId="0" applyFill="1" applyBorder="1" applyAlignment="1">
      <alignment horizontal="left" vertical="top" wrapText="1"/>
    </xf>
    <xf numFmtId="0" fontId="0" fillId="6" borderId="42" xfId="0" applyFill="1" applyBorder="1" applyAlignment="1">
      <alignment horizontal="left" vertical="top" wrapText="1"/>
    </xf>
    <xf numFmtId="0" fontId="0" fillId="6" borderId="43" xfId="0" applyFill="1" applyBorder="1" applyAlignment="1">
      <alignment horizontal="left" vertical="top" wrapText="1"/>
    </xf>
    <xf numFmtId="0" fontId="0" fillId="6" borderId="44" xfId="0" applyFill="1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6" borderId="45" xfId="0" applyFill="1" applyBorder="1" applyAlignment="1">
      <alignment horizontal="left" vertical="top" wrapText="1"/>
    </xf>
    <xf numFmtId="0" fontId="0" fillId="6" borderId="46" xfId="0" applyFill="1" applyBorder="1" applyAlignment="1">
      <alignment horizontal="left" vertical="top" wrapText="1"/>
    </xf>
    <xf numFmtId="0" fontId="0" fillId="6" borderId="47" xfId="0" applyFill="1" applyBorder="1" applyAlignment="1">
      <alignment horizontal="left" vertical="top" wrapText="1"/>
    </xf>
    <xf numFmtId="0" fontId="0" fillId="6" borderId="48" xfId="0" applyFill="1" applyBorder="1" applyAlignment="1">
      <alignment horizontal="left" vertical="top" wrapTex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2" fillId="0" borderId="0" xfId="0" applyFont="1" applyBorder="1" applyAlignment="1">
      <alignment vertical="center" shrinkToFit="1"/>
    </xf>
    <xf numFmtId="0" fontId="0" fillId="0" borderId="0" xfId="0" applyBorder="1" applyAlignment="1">
      <alignment vertical="top"/>
    </xf>
    <xf numFmtId="0" fontId="0" fillId="0" borderId="49" xfId="0" applyBorder="1" applyAlignment="1">
      <alignment vertical="top"/>
    </xf>
  </cellXfs>
  <cellStyles count="1">
    <cellStyle name="標準" xfId="0" builtinId="0"/>
  </cellStyles>
  <dxfs count="3">
    <dxf>
      <fill>
        <patternFill>
          <bgColor rgb="FFCCECFF"/>
        </patternFill>
      </fill>
    </dxf>
    <dxf>
      <fill>
        <patternFill>
          <bgColor rgb="FFFFCC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CC"/>
      <color rgb="FFFF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28291</xdr:rowOff>
    </xdr:from>
    <xdr:to>
      <xdr:col>14</xdr:col>
      <xdr:colOff>33007</xdr:colOff>
      <xdr:row>8</xdr:row>
      <xdr:rowOff>155606</xdr:rowOff>
    </xdr:to>
    <xdr:sp macro="[0]!席替え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C7037BC-B997-9B7E-96A8-3C8D64B148EC}"/>
            </a:ext>
          </a:extLst>
        </xdr:cNvPr>
        <xdr:cNvSpPr/>
      </xdr:nvSpPr>
      <xdr:spPr>
        <a:xfrm>
          <a:off x="10015396" y="1136398"/>
          <a:ext cx="1400458" cy="79689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席替え</a:t>
          </a:r>
          <a:endParaRPr kumimoji="1" lang="en-US" altLang="ja-JP" sz="1800">
            <a:latin typeface="HGP創英角ﾎﾟｯﾌﾟ体" panose="040B0A00000000000000" pitchFamily="50" charset="-128"/>
            <a:ea typeface="HGP創英角ﾎﾟｯﾌﾟ体" panose="040B0A00000000000000" pitchFamily="50" charset="-128"/>
          </a:endParaRPr>
        </a:p>
        <a:p>
          <a:pPr algn="ctr"/>
          <a:r>
            <a:rPr kumimoji="1" lang="ja-JP" altLang="en-US" sz="1800"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実行</a:t>
          </a:r>
          <a:endParaRPr kumimoji="1" lang="en-US" altLang="ja-JP" sz="1800">
            <a:latin typeface="HGP創英角ﾎﾟｯﾌﾟ体" panose="040B0A00000000000000" pitchFamily="50" charset="-128"/>
            <a:ea typeface="HGP創英角ﾎﾟｯﾌﾟ体" panose="040B0A00000000000000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C7DEB-B07D-4433-BB1F-B611F634527D}">
  <sheetPr codeName="Sheet4"/>
  <dimension ref="A1:P41"/>
  <sheetViews>
    <sheetView zoomScale="102" workbookViewId="0">
      <selection activeCell="O4" sqref="O4"/>
    </sheetView>
  </sheetViews>
  <sheetFormatPr defaultRowHeight="17.649999999999999" x14ac:dyDescent="0.7"/>
  <cols>
    <col min="1" max="1" width="4.875" customWidth="1"/>
    <col min="2" max="2" width="17.8125" customWidth="1"/>
    <col min="3" max="3" width="7.3125" style="44" customWidth="1"/>
    <col min="4" max="4" width="8.875" style="44" customWidth="1"/>
    <col min="5" max="5" width="5.25" customWidth="1"/>
    <col min="6" max="11" width="11.6875" customWidth="1"/>
    <col min="12" max="12" width="3.5" customWidth="1"/>
  </cols>
  <sheetData>
    <row r="1" spans="1:16" ht="35.25" x14ac:dyDescent="0.7">
      <c r="A1" s="39" t="s">
        <v>36</v>
      </c>
      <c r="B1" s="40" t="s">
        <v>37</v>
      </c>
      <c r="C1" s="52" t="s">
        <v>44</v>
      </c>
      <c r="D1" s="51" t="s">
        <v>43</v>
      </c>
      <c r="F1" t="s">
        <v>47</v>
      </c>
    </row>
    <row r="2" spans="1:16" x14ac:dyDescent="0.7">
      <c r="A2" s="41">
        <v>1</v>
      </c>
      <c r="B2" s="27"/>
      <c r="C2" s="35"/>
      <c r="D2" s="53"/>
      <c r="F2" s="35" t="s">
        <v>46</v>
      </c>
      <c r="G2" s="35" t="s">
        <v>46</v>
      </c>
      <c r="H2" s="35" t="s">
        <v>46</v>
      </c>
      <c r="I2" s="35" t="s">
        <v>46</v>
      </c>
      <c r="J2" s="35" t="s">
        <v>46</v>
      </c>
      <c r="K2" s="35" t="s">
        <v>46</v>
      </c>
    </row>
    <row r="3" spans="1:16" x14ac:dyDescent="0.7">
      <c r="A3" s="41">
        <v>2</v>
      </c>
      <c r="B3" s="27"/>
      <c r="C3" s="35"/>
      <c r="D3" s="53"/>
      <c r="F3" s="35" t="s">
        <v>46</v>
      </c>
      <c r="G3" s="35" t="s">
        <v>46</v>
      </c>
      <c r="H3" s="35" t="s">
        <v>46</v>
      </c>
      <c r="I3" s="35" t="s">
        <v>46</v>
      </c>
      <c r="J3" s="35" t="s">
        <v>46</v>
      </c>
      <c r="K3" s="35" t="s">
        <v>46</v>
      </c>
    </row>
    <row r="4" spans="1:16" x14ac:dyDescent="0.7">
      <c r="A4" s="41">
        <v>3</v>
      </c>
      <c r="B4" s="27"/>
      <c r="C4" s="35"/>
      <c r="D4" s="53"/>
      <c r="F4" s="35" t="s">
        <v>46</v>
      </c>
      <c r="G4" s="35" t="s">
        <v>46</v>
      </c>
      <c r="H4" s="35" t="s">
        <v>46</v>
      </c>
      <c r="I4" s="35" t="s">
        <v>46</v>
      </c>
      <c r="J4" s="35" t="s">
        <v>46</v>
      </c>
      <c r="K4" s="35" t="s">
        <v>46</v>
      </c>
    </row>
    <row r="5" spans="1:16" x14ac:dyDescent="0.7">
      <c r="A5" s="41">
        <v>4</v>
      </c>
      <c r="B5" s="27"/>
      <c r="C5" s="35"/>
      <c r="D5" s="53"/>
      <c r="F5" s="35" t="s">
        <v>46</v>
      </c>
      <c r="G5" s="35" t="s">
        <v>46</v>
      </c>
      <c r="H5" s="35" t="s">
        <v>46</v>
      </c>
      <c r="I5" s="35" t="s">
        <v>46</v>
      </c>
      <c r="J5" s="35" t="s">
        <v>46</v>
      </c>
      <c r="K5" s="35" t="s">
        <v>46</v>
      </c>
    </row>
    <row r="6" spans="1:16" ht="18" thickBot="1" x14ac:dyDescent="0.75">
      <c r="A6" s="42">
        <v>5</v>
      </c>
      <c r="B6" s="38"/>
      <c r="C6" s="54"/>
      <c r="D6" s="55"/>
      <c r="F6" s="35" t="s">
        <v>46</v>
      </c>
      <c r="G6" s="35" t="s">
        <v>46</v>
      </c>
      <c r="H6" s="35" t="s">
        <v>46</v>
      </c>
      <c r="I6" s="35" t="s">
        <v>46</v>
      </c>
      <c r="J6" s="35" t="s">
        <v>46</v>
      </c>
      <c r="K6" s="35" t="s">
        <v>46</v>
      </c>
    </row>
    <row r="7" spans="1:16" x14ac:dyDescent="0.7">
      <c r="A7" s="43">
        <v>6</v>
      </c>
      <c r="B7" s="37"/>
      <c r="C7" s="56"/>
      <c r="D7" s="57"/>
      <c r="F7" s="35" t="s">
        <v>46</v>
      </c>
      <c r="G7" s="35" t="s">
        <v>46</v>
      </c>
      <c r="H7" s="35" t="s">
        <v>46</v>
      </c>
      <c r="I7" s="35" t="s">
        <v>46</v>
      </c>
      <c r="J7" s="35" t="s">
        <v>46</v>
      </c>
      <c r="K7" s="35" t="s">
        <v>46</v>
      </c>
    </row>
    <row r="8" spans="1:16" x14ac:dyDescent="0.7">
      <c r="A8" s="41">
        <v>7</v>
      </c>
      <c r="B8" s="27"/>
      <c r="C8" s="35"/>
      <c r="D8" s="53"/>
    </row>
    <row r="9" spans="1:16" x14ac:dyDescent="0.7">
      <c r="A9" s="41">
        <v>8</v>
      </c>
      <c r="B9" s="27"/>
      <c r="C9" s="35"/>
      <c r="D9" s="53"/>
      <c r="G9" s="31"/>
      <c r="H9" s="34" t="s">
        <v>38</v>
      </c>
      <c r="I9" s="32"/>
      <c r="J9" s="33"/>
    </row>
    <row r="10" spans="1:16" x14ac:dyDescent="0.7">
      <c r="A10" s="41">
        <v>9</v>
      </c>
      <c r="B10" s="27"/>
      <c r="C10" s="35"/>
      <c r="D10" s="53"/>
    </row>
    <row r="11" spans="1:16" ht="18" thickBot="1" x14ac:dyDescent="0.75">
      <c r="A11" s="42">
        <v>10</v>
      </c>
      <c r="B11" s="38"/>
      <c r="C11" s="54"/>
      <c r="D11" s="55"/>
      <c r="M11" t="s">
        <v>45</v>
      </c>
    </row>
    <row r="12" spans="1:16" ht="18" thickTop="1" x14ac:dyDescent="0.7">
      <c r="A12" s="43">
        <v>11</v>
      </c>
      <c r="B12" s="37"/>
      <c r="C12" s="56"/>
      <c r="D12" s="57"/>
      <c r="F12" t="s">
        <v>48</v>
      </c>
      <c r="M12" s="59" t="s">
        <v>49</v>
      </c>
      <c r="N12" s="60"/>
      <c r="O12" s="60"/>
      <c r="P12" s="61"/>
    </row>
    <row r="13" spans="1:16" x14ac:dyDescent="0.7">
      <c r="A13" s="41">
        <v>12</v>
      </c>
      <c r="B13" s="27"/>
      <c r="C13" s="35"/>
      <c r="D13" s="53"/>
      <c r="F13" s="58" t="s">
        <v>39</v>
      </c>
      <c r="G13" s="58"/>
      <c r="H13" s="58" t="s">
        <v>40</v>
      </c>
      <c r="I13" s="58"/>
      <c r="J13" s="36" t="s">
        <v>41</v>
      </c>
      <c r="K13" s="36" t="s">
        <v>42</v>
      </c>
      <c r="M13" s="62"/>
      <c r="N13" s="63"/>
      <c r="O13" s="63"/>
      <c r="P13" s="64"/>
    </row>
    <row r="14" spans="1:16" x14ac:dyDescent="0.7">
      <c r="A14" s="41">
        <v>13</v>
      </c>
      <c r="B14" s="27"/>
      <c r="C14" s="35"/>
      <c r="D14" s="53"/>
      <c r="F14" s="28"/>
      <c r="G14" s="30"/>
      <c r="H14" s="29"/>
      <c r="I14" s="29"/>
      <c r="J14" s="35"/>
      <c r="K14" s="35"/>
      <c r="M14" s="62"/>
      <c r="N14" s="63"/>
      <c r="O14" s="63"/>
      <c r="P14" s="64"/>
    </row>
    <row r="15" spans="1:16" x14ac:dyDescent="0.7">
      <c r="A15" s="41">
        <v>14</v>
      </c>
      <c r="B15" s="27"/>
      <c r="C15" s="35"/>
      <c r="D15" s="53"/>
      <c r="F15" s="28"/>
      <c r="G15" s="30"/>
      <c r="H15" s="28"/>
      <c r="I15" s="29"/>
      <c r="J15" s="35"/>
      <c r="K15" s="35"/>
      <c r="M15" s="62"/>
      <c r="N15" s="63"/>
      <c r="O15" s="63"/>
      <c r="P15" s="64"/>
    </row>
    <row r="16" spans="1:16" ht="18" thickBot="1" x14ac:dyDescent="0.75">
      <c r="A16" s="42">
        <v>15</v>
      </c>
      <c r="B16" s="38"/>
      <c r="C16" s="54"/>
      <c r="D16" s="55"/>
      <c r="F16" s="28"/>
      <c r="G16" s="30"/>
      <c r="H16" s="28"/>
      <c r="I16" s="29"/>
      <c r="J16" s="35"/>
      <c r="K16" s="35"/>
      <c r="M16" s="62"/>
      <c r="N16" s="63"/>
      <c r="O16" s="63"/>
      <c r="P16" s="64"/>
    </row>
    <row r="17" spans="1:16" x14ac:dyDescent="0.7">
      <c r="A17" s="43">
        <v>16</v>
      </c>
      <c r="B17" s="37"/>
      <c r="C17" s="56"/>
      <c r="D17" s="57"/>
      <c r="F17" s="28"/>
      <c r="G17" s="30" t="str">
        <f t="shared" ref="G15:G22" si="0">IFERROR(VLOOKUP(F17,$A$2:$D$41,2),"")</f>
        <v/>
      </c>
      <c r="H17" s="28"/>
      <c r="I17" s="29" t="str">
        <f t="shared" ref="I15:I22" si="1">IFERROR(VLOOKUP(H17,$A$2:$D$41,2),"")</f>
        <v/>
      </c>
      <c r="J17" s="35"/>
      <c r="K17" s="35"/>
      <c r="M17" s="62"/>
      <c r="N17" s="63"/>
      <c r="O17" s="63"/>
      <c r="P17" s="64"/>
    </row>
    <row r="18" spans="1:16" x14ac:dyDescent="0.7">
      <c r="A18" s="41">
        <v>17</v>
      </c>
      <c r="B18" s="27"/>
      <c r="C18" s="35"/>
      <c r="D18" s="53"/>
      <c r="F18" s="28"/>
      <c r="G18" s="30" t="str">
        <f t="shared" si="0"/>
        <v/>
      </c>
      <c r="H18" s="28"/>
      <c r="I18" s="29" t="str">
        <f t="shared" si="1"/>
        <v/>
      </c>
      <c r="J18" s="35"/>
      <c r="K18" s="35"/>
      <c r="M18" s="62"/>
      <c r="N18" s="63"/>
      <c r="O18" s="63"/>
      <c r="P18" s="64"/>
    </row>
    <row r="19" spans="1:16" x14ac:dyDescent="0.7">
      <c r="A19" s="41">
        <v>18</v>
      </c>
      <c r="B19" s="27"/>
      <c r="C19" s="35"/>
      <c r="D19" s="53"/>
      <c r="F19" s="28"/>
      <c r="G19" s="30" t="str">
        <f t="shared" si="0"/>
        <v/>
      </c>
      <c r="H19" s="28"/>
      <c r="I19" s="29" t="str">
        <f t="shared" si="1"/>
        <v/>
      </c>
      <c r="J19" s="35"/>
      <c r="K19" s="35"/>
      <c r="M19" s="62"/>
      <c r="N19" s="63"/>
      <c r="O19" s="63"/>
      <c r="P19" s="64"/>
    </row>
    <row r="20" spans="1:16" x14ac:dyDescent="0.7">
      <c r="A20" s="41">
        <v>19</v>
      </c>
      <c r="B20" s="27"/>
      <c r="C20" s="35"/>
      <c r="D20" s="53"/>
      <c r="F20" s="28"/>
      <c r="G20" s="30" t="str">
        <f t="shared" si="0"/>
        <v/>
      </c>
      <c r="H20" s="28"/>
      <c r="I20" s="29" t="str">
        <f t="shared" si="1"/>
        <v/>
      </c>
      <c r="J20" s="35"/>
      <c r="K20" s="35"/>
      <c r="M20" s="62"/>
      <c r="N20" s="63"/>
      <c r="O20" s="63"/>
      <c r="P20" s="64"/>
    </row>
    <row r="21" spans="1:16" ht="18" thickBot="1" x14ac:dyDescent="0.75">
      <c r="A21" s="42">
        <v>20</v>
      </c>
      <c r="B21" s="38"/>
      <c r="C21" s="54"/>
      <c r="D21" s="55"/>
      <c r="F21" s="28"/>
      <c r="G21" s="30" t="str">
        <f t="shared" si="0"/>
        <v/>
      </c>
      <c r="H21" s="28"/>
      <c r="I21" s="29" t="str">
        <f t="shared" si="1"/>
        <v/>
      </c>
      <c r="J21" s="35"/>
      <c r="K21" s="35"/>
      <c r="M21" s="62"/>
      <c r="N21" s="63"/>
      <c r="O21" s="63"/>
      <c r="P21" s="64"/>
    </row>
    <row r="22" spans="1:16" ht="18" thickBot="1" x14ac:dyDescent="0.75">
      <c r="A22" s="43">
        <v>21</v>
      </c>
      <c r="B22" s="37"/>
      <c r="C22" s="56"/>
      <c r="D22" s="57"/>
      <c r="F22" s="28"/>
      <c r="G22" s="30" t="str">
        <f t="shared" si="0"/>
        <v/>
      </c>
      <c r="H22" s="28"/>
      <c r="I22" s="29" t="str">
        <f t="shared" si="1"/>
        <v/>
      </c>
      <c r="J22" s="35"/>
      <c r="K22" s="35"/>
      <c r="M22" s="65"/>
      <c r="N22" s="66"/>
      <c r="O22" s="66"/>
      <c r="P22" s="67"/>
    </row>
    <row r="23" spans="1:16" ht="18" thickTop="1" x14ac:dyDescent="0.7">
      <c r="A23" s="41">
        <v>22</v>
      </c>
      <c r="B23" s="27"/>
      <c r="C23" s="35"/>
      <c r="D23" s="53"/>
    </row>
    <row r="24" spans="1:16" x14ac:dyDescent="0.7">
      <c r="A24" s="41">
        <v>23</v>
      </c>
      <c r="B24" s="27"/>
      <c r="C24" s="35"/>
      <c r="D24" s="53"/>
    </row>
    <row r="25" spans="1:16" x14ac:dyDescent="0.7">
      <c r="A25" s="41">
        <v>24</v>
      </c>
      <c r="B25" s="27"/>
      <c r="C25" s="35"/>
      <c r="D25" s="53"/>
    </row>
    <row r="26" spans="1:16" ht="18" thickBot="1" x14ac:dyDescent="0.75">
      <c r="A26" s="42">
        <v>25</v>
      </c>
      <c r="B26" s="38"/>
      <c r="C26" s="54"/>
      <c r="D26" s="55"/>
    </row>
    <row r="27" spans="1:16" x14ac:dyDescent="0.7">
      <c r="A27" s="43">
        <v>26</v>
      </c>
      <c r="B27" s="37"/>
      <c r="C27" s="56"/>
      <c r="D27" s="57"/>
    </row>
    <row r="28" spans="1:16" x14ac:dyDescent="0.7">
      <c r="A28" s="41">
        <v>27</v>
      </c>
      <c r="B28" s="27"/>
      <c r="C28" s="35"/>
      <c r="D28" s="53"/>
    </row>
    <row r="29" spans="1:16" x14ac:dyDescent="0.7">
      <c r="A29" s="41">
        <v>28</v>
      </c>
      <c r="B29" s="27"/>
      <c r="C29" s="35"/>
      <c r="D29" s="53"/>
    </row>
    <row r="30" spans="1:16" x14ac:dyDescent="0.7">
      <c r="A30" s="41">
        <v>29</v>
      </c>
      <c r="B30" s="27"/>
      <c r="C30" s="35"/>
      <c r="D30" s="53"/>
    </row>
    <row r="31" spans="1:16" ht="18" thickBot="1" x14ac:dyDescent="0.75">
      <c r="A31" s="42">
        <v>30</v>
      </c>
      <c r="B31" s="38"/>
      <c r="C31" s="54"/>
      <c r="D31" s="55"/>
    </row>
    <row r="32" spans="1:16" x14ac:dyDescent="0.7">
      <c r="A32" s="43">
        <v>31</v>
      </c>
      <c r="B32" s="37"/>
      <c r="C32" s="56"/>
      <c r="D32" s="57"/>
    </row>
    <row r="33" spans="1:4" x14ac:dyDescent="0.7">
      <c r="A33" s="41">
        <v>32</v>
      </c>
      <c r="B33" s="27"/>
      <c r="C33" s="35"/>
      <c r="D33" s="53"/>
    </row>
    <row r="34" spans="1:4" x14ac:dyDescent="0.7">
      <c r="A34" s="41">
        <v>33</v>
      </c>
      <c r="B34" s="27"/>
      <c r="C34" s="35"/>
      <c r="D34" s="53"/>
    </row>
    <row r="35" spans="1:4" x14ac:dyDescent="0.7">
      <c r="A35" s="41">
        <v>34</v>
      </c>
      <c r="B35" s="27"/>
      <c r="C35" s="35"/>
      <c r="D35" s="53"/>
    </row>
    <row r="36" spans="1:4" ht="18" thickBot="1" x14ac:dyDescent="0.75">
      <c r="A36" s="42">
        <v>35</v>
      </c>
      <c r="B36" s="38"/>
      <c r="C36" s="54"/>
      <c r="D36" s="55"/>
    </row>
    <row r="37" spans="1:4" x14ac:dyDescent="0.7">
      <c r="A37" s="43">
        <v>36</v>
      </c>
      <c r="B37" s="37"/>
      <c r="C37" s="56"/>
      <c r="D37" s="57"/>
    </row>
    <row r="38" spans="1:4" x14ac:dyDescent="0.7">
      <c r="A38" s="41">
        <v>37</v>
      </c>
      <c r="B38" s="27"/>
      <c r="C38" s="35"/>
      <c r="D38" s="53"/>
    </row>
    <row r="39" spans="1:4" x14ac:dyDescent="0.7">
      <c r="A39" s="41">
        <v>38</v>
      </c>
      <c r="B39" s="27"/>
      <c r="C39" s="35"/>
      <c r="D39" s="53"/>
    </row>
    <row r="40" spans="1:4" x14ac:dyDescent="0.7">
      <c r="A40" s="41">
        <v>39</v>
      </c>
      <c r="B40" s="27"/>
      <c r="C40" s="35"/>
      <c r="D40" s="53"/>
    </row>
    <row r="41" spans="1:4" ht="18" thickBot="1" x14ac:dyDescent="0.75">
      <c r="A41" s="42">
        <v>40</v>
      </c>
      <c r="B41" s="38"/>
      <c r="C41" s="54"/>
      <c r="D41" s="55"/>
    </row>
  </sheetData>
  <mergeCells count="3">
    <mergeCell ref="F13:G13"/>
    <mergeCell ref="H13:I13"/>
    <mergeCell ref="M12:P22"/>
  </mergeCells>
  <phoneticPr fontId="1"/>
  <conditionalFormatting sqref="F2:K7">
    <cfRule type="cellIs" dxfId="2" priority="2" operator="equal">
      <formula>"空白"</formula>
    </cfRule>
    <cfRule type="cellIs" dxfId="1" priority="3" operator="equal">
      <formula>"女"</formula>
    </cfRule>
    <cfRule type="cellIs" dxfId="0" priority="4" operator="equal">
      <formula>"男"</formula>
    </cfRule>
  </conditionalFormatting>
  <dataValidations count="5">
    <dataValidation type="whole" imeMode="off" showInputMessage="1" showErrorMessage="1" sqref="C37:C41" xr:uid="{D0D8182A-70A9-42EA-9BA2-7764AA2C4A9B}">
      <formula1>1</formula1>
      <formula2>2</formula2>
    </dataValidation>
    <dataValidation type="whole" imeMode="off" operator="equal" allowBlank="1" showInputMessage="1" showErrorMessage="1" sqref="D2:D41" xr:uid="{41D994D5-7E9E-4A93-A363-303950286628}">
      <formula1>1</formula1>
    </dataValidation>
    <dataValidation type="list" allowBlank="1" showInputMessage="1" showErrorMessage="1" sqref="F2:K7" xr:uid="{2AFC7911-B79F-49A1-88A4-3CA3F9BC33B5}">
      <formula1>"自由,男,女,空白"</formula1>
    </dataValidation>
    <dataValidation type="list" allowBlank="1" showInputMessage="1" showErrorMessage="1" sqref="J14:J22" xr:uid="{1E51DA87-164C-47B4-A271-1A0EC6CA4DF6}">
      <formula1>"⇐はなす⇒,⇒近づける⇐"</formula1>
    </dataValidation>
    <dataValidation type="list" allowBlank="1" showInputMessage="1" showErrorMessage="1" sqref="C2:C36" xr:uid="{2685908E-2138-4FBA-8566-0CA921FFAB15}">
      <formula1>"M,F"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218E-5388-4B6B-8930-608C7597CA47}">
  <sheetPr codeName="Sheet6"/>
  <dimension ref="A1:T17"/>
  <sheetViews>
    <sheetView tabSelected="1" view="pageBreakPreview" zoomScale="85" zoomScaleNormal="87" zoomScaleSheetLayoutView="70" workbookViewId="0">
      <selection activeCell="O4" sqref="O4"/>
    </sheetView>
  </sheetViews>
  <sheetFormatPr defaultRowHeight="35.75" customHeight="1" x14ac:dyDescent="0.7"/>
  <cols>
    <col min="1" max="1" width="5" customWidth="1"/>
    <col min="2" max="2" width="12.1875" customWidth="1"/>
    <col min="3" max="3" width="2.125" customWidth="1"/>
    <col min="4" max="4" width="5" customWidth="1"/>
    <col min="5" max="5" width="12.1875" customWidth="1"/>
    <col min="7" max="7" width="5" customWidth="1"/>
    <col min="8" max="8" width="12.1875" customWidth="1"/>
    <col min="9" max="9" width="2.125" customWidth="1"/>
    <col min="10" max="10" width="5" customWidth="1"/>
    <col min="11" max="11" width="12.1875" customWidth="1"/>
    <col min="13" max="13" width="5" customWidth="1"/>
    <col min="14" max="14" width="12.1875" customWidth="1"/>
    <col min="15" max="15" width="2.125" customWidth="1"/>
    <col min="16" max="16" width="5" customWidth="1"/>
    <col min="17" max="17" width="12.1875" customWidth="1"/>
    <col min="19" max="19" width="9" style="16"/>
  </cols>
  <sheetData>
    <row r="1" spans="1:20" s="16" customFormat="1" ht="35" customHeight="1" x14ac:dyDescent="0.7">
      <c r="A1" s="50"/>
      <c r="B1" s="19" t="s">
        <v>0</v>
      </c>
      <c r="C1" s="19"/>
      <c r="D1" s="49"/>
      <c r="E1" s="19"/>
      <c r="F1" s="19"/>
      <c r="G1" s="49"/>
      <c r="H1" s="19"/>
      <c r="I1" s="19"/>
      <c r="J1" s="49"/>
      <c r="K1" s="20"/>
      <c r="M1" s="45"/>
      <c r="N1" s="13" t="str">
        <f>IFERROR(VLOOKUP(M1,設定!$A$2:$B$41,2),"")</f>
        <v/>
      </c>
      <c r="O1" s="14"/>
      <c r="P1" s="48"/>
      <c r="Q1" s="21" t="str">
        <f>IFERROR(VLOOKUP(P1,設定!$A$2:$B$41,2),"")</f>
        <v/>
      </c>
    </row>
    <row r="2" spans="1:20" ht="35" customHeight="1" x14ac:dyDescent="0.7">
      <c r="A2" s="1"/>
      <c r="B2" s="3"/>
      <c r="C2" s="3"/>
      <c r="D2" s="3"/>
      <c r="E2" s="3"/>
      <c r="F2" s="3"/>
      <c r="G2" s="3"/>
      <c r="H2" s="3"/>
      <c r="I2" s="3"/>
      <c r="J2" s="3"/>
      <c r="K2" s="2"/>
      <c r="M2" s="4"/>
      <c r="N2" s="2"/>
      <c r="O2" s="70"/>
      <c r="P2" s="1"/>
      <c r="Q2" s="5"/>
    </row>
    <row r="3" spans="1:20" ht="21.5" customHeight="1" thickBot="1" x14ac:dyDescent="0.75">
      <c r="M3" s="4"/>
      <c r="N3" s="70"/>
      <c r="O3" s="72">
        <v>7</v>
      </c>
      <c r="P3" s="3"/>
      <c r="Q3" s="71"/>
    </row>
    <row r="4" spans="1:20" s="16" customFormat="1" ht="35" customHeight="1" x14ac:dyDescent="0.7">
      <c r="A4" s="45"/>
      <c r="B4" s="13" t="str">
        <f>IFERROR(VLOOKUP(A4,設定!$A$2:$B$41,2),"")</f>
        <v/>
      </c>
      <c r="C4" s="14"/>
      <c r="D4" s="48"/>
      <c r="E4" s="13" t="str">
        <f>IFERROR(VLOOKUP(D4,設定!$A$2:$B$41,2),"")</f>
        <v/>
      </c>
      <c r="F4" s="68">
        <v>5</v>
      </c>
      <c r="G4" s="48"/>
      <c r="H4" s="13" t="str">
        <f>IFERROR(VLOOKUP(G4,設定!$A$2:$B$41,2),"")</f>
        <v/>
      </c>
      <c r="I4" s="14"/>
      <c r="J4" s="48"/>
      <c r="K4" s="21" t="str">
        <f>IFERROR(VLOOKUP(J4,設定!$A$2:$B$41,2),"")</f>
        <v/>
      </c>
      <c r="M4" s="46"/>
      <c r="N4" s="20" t="str">
        <f>IFERROR(VLOOKUP(M4,設定!$A$2:$B$41,2),"")</f>
        <v/>
      </c>
      <c r="O4" s="73"/>
      <c r="P4" s="47"/>
      <c r="Q4" s="74" t="str">
        <f>IFERROR(VLOOKUP(P4,設定!$A$2:$B$41,2),"")</f>
        <v/>
      </c>
    </row>
    <row r="5" spans="1:20" ht="35" customHeight="1" thickBot="1" x14ac:dyDescent="0.75">
      <c r="A5" s="7"/>
      <c r="B5" s="8"/>
      <c r="C5" s="9"/>
      <c r="D5" s="10"/>
      <c r="E5" s="8"/>
      <c r="F5" s="69"/>
      <c r="G5" s="10"/>
      <c r="H5" s="8"/>
      <c r="I5" s="9"/>
      <c r="J5" s="10"/>
      <c r="K5" s="11"/>
      <c r="M5" s="7"/>
      <c r="N5" s="8"/>
      <c r="O5" s="9"/>
      <c r="P5" s="10"/>
      <c r="Q5" s="11"/>
    </row>
    <row r="6" spans="1:20" ht="21.5" customHeight="1" thickBot="1" x14ac:dyDescent="0.75"/>
    <row r="7" spans="1:20" s="16" customFormat="1" ht="35" customHeight="1" x14ac:dyDescent="0.7">
      <c r="A7" s="45"/>
      <c r="B7" s="13" t="str">
        <f>IFERROR(VLOOKUP(A7,設定!$A$2:$B$41,2),"")</f>
        <v/>
      </c>
      <c r="C7" s="14"/>
      <c r="D7" s="48"/>
      <c r="E7" s="21" t="str">
        <f>IFERROR(VLOOKUP(D7,設定!$A$2:$B$41,2),"")</f>
        <v/>
      </c>
      <c r="G7" s="45"/>
      <c r="H7" s="13" t="str">
        <f>IFERROR(VLOOKUP(G7,設定!$A$2:$B$41,2),"")</f>
        <v/>
      </c>
      <c r="I7" s="14"/>
      <c r="J7" s="48"/>
      <c r="K7" s="21" t="str">
        <f>IFERROR(VLOOKUP(J7,設定!$A$2:$B$41,2),"")</f>
        <v/>
      </c>
      <c r="M7" s="45"/>
      <c r="N7" s="13" t="str">
        <f>IFERROR(VLOOKUP(M7,設定!$A$2:$B$41,2),"")</f>
        <v/>
      </c>
      <c r="O7" s="14"/>
      <c r="P7" s="48"/>
      <c r="Q7" s="21" t="str">
        <f>IFERROR(VLOOKUP(P7,設定!$A$2:$B$41,2),"")</f>
        <v/>
      </c>
      <c r="T7"/>
    </row>
    <row r="8" spans="1:20" ht="35" customHeight="1" x14ac:dyDescent="0.7">
      <c r="A8" s="4"/>
      <c r="B8" s="2"/>
      <c r="C8" s="70"/>
      <c r="D8" s="1"/>
      <c r="E8" s="5"/>
      <c r="G8" s="4"/>
      <c r="H8" s="2"/>
      <c r="I8" s="70"/>
      <c r="J8" s="1"/>
      <c r="K8" s="5"/>
      <c r="M8" s="4"/>
      <c r="N8" s="2"/>
      <c r="O8" s="70"/>
      <c r="P8" s="1"/>
      <c r="Q8" s="5"/>
    </row>
    <row r="9" spans="1:20" ht="21.5" customHeight="1" x14ac:dyDescent="0.7">
      <c r="A9" s="4"/>
      <c r="B9" s="70"/>
      <c r="C9" s="72">
        <v>2</v>
      </c>
      <c r="D9" s="3"/>
      <c r="E9" s="71"/>
      <c r="G9" s="4"/>
      <c r="H9" s="70"/>
      <c r="I9" s="72">
        <v>4</v>
      </c>
      <c r="J9" s="3"/>
      <c r="K9" s="71"/>
      <c r="M9" s="4"/>
      <c r="N9" s="70"/>
      <c r="O9" s="72">
        <v>6</v>
      </c>
      <c r="P9" s="3"/>
      <c r="Q9" s="71"/>
    </row>
    <row r="10" spans="1:20" s="16" customFormat="1" ht="35" customHeight="1" x14ac:dyDescent="0.7">
      <c r="A10" s="46"/>
      <c r="B10" s="20" t="str">
        <f>IFERROR(VLOOKUP(A10,設定!$A$2:$B$41,2),"")</f>
        <v/>
      </c>
      <c r="C10" s="73"/>
      <c r="D10" s="47"/>
      <c r="E10" s="74" t="str">
        <f>IFERROR(VLOOKUP(D10,設定!$A$2:$B$41,2),"")</f>
        <v/>
      </c>
      <c r="G10" s="46"/>
      <c r="H10" s="20" t="str">
        <f>IFERROR(VLOOKUP(G10,設定!$A$2:$B$41,2),"")</f>
        <v/>
      </c>
      <c r="I10" s="73"/>
      <c r="J10" s="47"/>
      <c r="K10" s="74" t="str">
        <f>IFERROR(VLOOKUP(J10,設定!$A$2:$B$41,2),"")</f>
        <v/>
      </c>
      <c r="M10" s="46"/>
      <c r="N10" s="20" t="str">
        <f>IFERROR(VLOOKUP(M10,設定!$A$2:$B$41,2),"")</f>
        <v/>
      </c>
      <c r="O10" s="73"/>
      <c r="P10" s="47"/>
      <c r="Q10" s="74" t="str">
        <f>IFERROR(VLOOKUP(P10,設定!$A$2:$B$41,2),"")</f>
        <v/>
      </c>
    </row>
    <row r="11" spans="1:20" ht="35" customHeight="1" thickBot="1" x14ac:dyDescent="0.75">
      <c r="A11" s="7"/>
      <c r="B11" s="8"/>
      <c r="C11" s="9"/>
      <c r="D11" s="10"/>
      <c r="E11" s="11"/>
      <c r="G11" s="7"/>
      <c r="H11" s="8"/>
      <c r="I11" s="9"/>
      <c r="J11" s="10"/>
      <c r="K11" s="11"/>
      <c r="M11" s="7"/>
      <c r="N11" s="8"/>
      <c r="O11" s="9"/>
      <c r="P11" s="10"/>
      <c r="Q11" s="11"/>
    </row>
    <row r="12" spans="1:20" ht="21.5" customHeight="1" thickBot="1" x14ac:dyDescent="0.75"/>
    <row r="13" spans="1:20" s="16" customFormat="1" ht="35" customHeight="1" x14ac:dyDescent="0.7">
      <c r="A13" s="45"/>
      <c r="B13" s="13" t="str">
        <f>IFERROR(VLOOKUP(A13,設定!$A$2:$B$41,2),"")</f>
        <v/>
      </c>
      <c r="C13" s="14"/>
      <c r="D13" s="48"/>
      <c r="E13" s="21" t="str">
        <f>IFERROR(VLOOKUP(D13,設定!$A$2:$B$41,2),"")</f>
        <v/>
      </c>
      <c r="G13" s="45"/>
      <c r="H13" s="13" t="str">
        <f>IFERROR(VLOOKUP(G13,設定!$A$2:$B$41,2),"")</f>
        <v/>
      </c>
      <c r="I13" s="14"/>
      <c r="J13" s="48"/>
      <c r="K13" s="21" t="str">
        <f>IFERROR(VLOOKUP(J13,設定!$A$2:$B$41,2),"")</f>
        <v/>
      </c>
      <c r="M13" s="45"/>
      <c r="N13" s="13" t="str">
        <f>IFERROR(VLOOKUP(M13,設定!$A$2:$B$41,2),"")</f>
        <v/>
      </c>
      <c r="O13" s="14"/>
      <c r="P13" s="48"/>
      <c r="Q13" s="21" t="str">
        <f>IFERROR(VLOOKUP(P13,設定!$A$2:$B$41,2),"")</f>
        <v/>
      </c>
    </row>
    <row r="14" spans="1:20" ht="35" customHeight="1" x14ac:dyDescent="0.7">
      <c r="A14" s="4"/>
      <c r="B14" s="2"/>
      <c r="C14" s="70"/>
      <c r="D14" s="1"/>
      <c r="E14" s="5"/>
      <c r="G14" s="4"/>
      <c r="H14" s="2"/>
      <c r="I14" s="70"/>
      <c r="J14" s="1"/>
      <c r="K14" s="5"/>
      <c r="M14" s="4"/>
      <c r="N14" s="2"/>
      <c r="O14" s="70"/>
      <c r="P14" s="1"/>
      <c r="Q14" s="5"/>
    </row>
    <row r="15" spans="1:20" ht="21.5" customHeight="1" x14ac:dyDescent="0.7">
      <c r="A15" s="4"/>
      <c r="B15" s="70"/>
      <c r="C15" s="72">
        <v>1</v>
      </c>
      <c r="D15" s="3"/>
      <c r="E15" s="71"/>
      <c r="G15" s="4"/>
      <c r="H15" s="70"/>
      <c r="I15" s="72">
        <v>3</v>
      </c>
      <c r="J15" s="3"/>
      <c r="K15" s="71"/>
      <c r="M15" s="4"/>
      <c r="N15" s="70"/>
      <c r="O15" s="72">
        <v>5</v>
      </c>
      <c r="P15" s="3"/>
      <c r="Q15" s="71"/>
    </row>
    <row r="16" spans="1:20" s="16" customFormat="1" ht="35" customHeight="1" x14ac:dyDescent="0.7">
      <c r="A16" s="46"/>
      <c r="B16" s="20" t="str">
        <f>IFERROR(VLOOKUP(A16,設定!$A$2:$B$41,2),"")</f>
        <v/>
      </c>
      <c r="C16" s="73"/>
      <c r="D16" s="47"/>
      <c r="E16" s="74" t="str">
        <f>IFERROR(VLOOKUP(D16,設定!$A$2:$B$41,2),"")</f>
        <v/>
      </c>
      <c r="G16" s="46"/>
      <c r="H16" s="20" t="str">
        <f>IFERROR(VLOOKUP(G16,設定!$A$2:$B$41,2),"")</f>
        <v/>
      </c>
      <c r="I16" s="73"/>
      <c r="J16" s="47"/>
      <c r="K16" s="74" t="str">
        <f>IFERROR(VLOOKUP(J16,設定!$A$2:$B$41,2),"")</f>
        <v/>
      </c>
      <c r="M16" s="46"/>
      <c r="N16" s="20" t="str">
        <f>IFERROR(VLOOKUP(M16,設定!$A$2:$B$41,2),"")</f>
        <v/>
      </c>
      <c r="O16" s="73"/>
      <c r="P16" s="47"/>
      <c r="Q16" s="74" t="str">
        <f>IFERROR(VLOOKUP(P16,設定!$A$2:$B$41,2),"")</f>
        <v/>
      </c>
    </row>
    <row r="17" spans="1:17" ht="35" customHeight="1" thickBot="1" x14ac:dyDescent="0.75">
      <c r="A17" s="7"/>
      <c r="B17" s="8"/>
      <c r="C17" s="9"/>
      <c r="D17" s="10"/>
      <c r="E17" s="11"/>
      <c r="G17" s="7"/>
      <c r="H17" s="8"/>
      <c r="I17" s="9"/>
      <c r="J17" s="10"/>
      <c r="K17" s="11"/>
      <c r="M17" s="7"/>
      <c r="N17" s="8"/>
      <c r="O17" s="9"/>
      <c r="P17" s="10"/>
      <c r="Q17" s="11"/>
    </row>
  </sheetData>
  <mergeCells count="1">
    <mergeCell ref="F4:F5"/>
  </mergeCells>
  <phoneticPr fontId="1"/>
  <pageMargins left="0.25" right="0.25" top="0.33" bottom="0.05" header="0.37" footer="0.21"/>
  <pageSetup paperSize="9" scale="96" orientation="landscape" r:id="rId1"/>
  <rowBreaks count="1" manualBreakCount="1">
    <brk id="1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0676-9337-46AA-B204-43DB73C53FC1}">
  <sheetPr codeName="Sheet1"/>
  <dimension ref="A1:W33"/>
  <sheetViews>
    <sheetView view="pageBreakPreview" zoomScale="85" zoomScaleNormal="87" zoomScaleSheetLayoutView="70" workbookViewId="0">
      <selection activeCell="C1" sqref="C1"/>
    </sheetView>
  </sheetViews>
  <sheetFormatPr defaultRowHeight="35.75" customHeight="1" x14ac:dyDescent="0.7"/>
  <cols>
    <col min="1" max="1" width="5" customWidth="1"/>
    <col min="2" max="2" width="12.1875" customWidth="1"/>
    <col min="3" max="3" width="2.125" customWidth="1"/>
    <col min="4" max="4" width="5" customWidth="1"/>
    <col min="5" max="5" width="12.1875" customWidth="1"/>
    <col min="7" max="7" width="5" customWidth="1"/>
    <col min="8" max="8" width="12.1875" customWidth="1"/>
    <col min="9" max="9" width="2.125" customWidth="1"/>
    <col min="10" max="10" width="5" customWidth="1"/>
    <col min="11" max="11" width="12.1875" customWidth="1"/>
    <col min="13" max="13" width="5" customWidth="1"/>
    <col min="14" max="14" width="12.1875" customWidth="1"/>
    <col min="15" max="15" width="2.125" customWidth="1"/>
    <col min="16" max="16" width="5" customWidth="1"/>
    <col min="17" max="17" width="12.1875" customWidth="1"/>
    <col min="19" max="19" width="9" style="16"/>
    <col min="20" max="20" width="12.4375" style="16" customWidth="1"/>
    <col min="21" max="22" width="9" style="16"/>
  </cols>
  <sheetData>
    <row r="1" spans="1:23" s="16" customFormat="1" ht="35" customHeight="1" x14ac:dyDescent="0.7">
      <c r="A1" s="18"/>
      <c r="B1" s="19" t="s">
        <v>0</v>
      </c>
      <c r="C1" s="19"/>
      <c r="D1" s="19"/>
      <c r="E1" s="19"/>
      <c r="F1" s="19"/>
      <c r="G1" s="19"/>
      <c r="H1" s="19"/>
      <c r="I1" s="19"/>
      <c r="J1" s="19"/>
      <c r="K1" s="20"/>
      <c r="M1" s="12">
        <v>16</v>
      </c>
      <c r="N1" s="13" t="str">
        <f>VLOOKUP(M1,$S$2:$T$34,2)</f>
        <v>佐藤べに</v>
      </c>
      <c r="O1" s="14"/>
      <c r="P1" s="15">
        <v>9</v>
      </c>
      <c r="Q1" s="21" t="str">
        <f>VLOOKUP(P1,$S$2:$T$34,2)</f>
        <v>川島ゆうや</v>
      </c>
    </row>
    <row r="2" spans="1:23" ht="35" customHeight="1" x14ac:dyDescent="0.7">
      <c r="A2" s="1"/>
      <c r="B2" s="3"/>
      <c r="C2" s="3"/>
      <c r="D2" s="3"/>
      <c r="E2" s="3"/>
      <c r="F2" s="3"/>
      <c r="G2" s="3"/>
      <c r="H2" s="3"/>
      <c r="I2" s="3"/>
      <c r="J2" s="3"/>
      <c r="K2" s="2"/>
      <c r="M2" s="4"/>
      <c r="N2" s="2"/>
      <c r="P2" s="1"/>
      <c r="Q2" s="5"/>
      <c r="S2" s="16">
        <v>1</v>
      </c>
      <c r="T2" s="16" t="s">
        <v>1</v>
      </c>
      <c r="U2" s="16" t="s">
        <v>34</v>
      </c>
    </row>
    <row r="3" spans="1:23" ht="21.5" customHeight="1" thickBot="1" x14ac:dyDescent="0.75">
      <c r="M3" s="6"/>
      <c r="N3" s="3"/>
      <c r="O3" s="26">
        <v>8</v>
      </c>
      <c r="P3" s="3"/>
      <c r="Q3" s="5"/>
      <c r="S3" s="16">
        <v>2</v>
      </c>
      <c r="T3" s="16" t="s">
        <v>2</v>
      </c>
      <c r="U3" s="16" t="s">
        <v>35</v>
      </c>
    </row>
    <row r="4" spans="1:23" s="16" customFormat="1" ht="35" customHeight="1" x14ac:dyDescent="0.7">
      <c r="A4" s="12">
        <v>28</v>
      </c>
      <c r="B4" s="13" t="str">
        <f>VLOOKUP(A4,$S$2:$T$34,2)</f>
        <v>中沢けんじ</v>
      </c>
      <c r="C4" s="14"/>
      <c r="D4" s="15">
        <v>30</v>
      </c>
      <c r="E4" s="13" t="str">
        <f>VLOOKUP(D4,$S$2:$T$34,2)</f>
        <v>藤森あおい</v>
      </c>
      <c r="F4" s="68">
        <v>5</v>
      </c>
      <c r="G4" s="15">
        <v>12</v>
      </c>
      <c r="H4" s="13" t="str">
        <f>VLOOKUP(G4,$S$2:$T$34,2)</f>
        <v>小林だいち</v>
      </c>
      <c r="I4" s="14"/>
      <c r="J4" s="15">
        <v>17</v>
      </c>
      <c r="K4" s="21" t="str">
        <f>VLOOKUP(J4,$S$2:$T$34,2)</f>
        <v>清水りお</v>
      </c>
      <c r="M4" s="17">
        <v>24</v>
      </c>
      <c r="N4" s="23" t="str">
        <f>VLOOKUP(M4,$S$2:$T$34,2)</f>
        <v>坪井はるき</v>
      </c>
      <c r="P4" s="24">
        <v>22</v>
      </c>
      <c r="Q4" s="25" t="str">
        <f>VLOOKUP(P4,$S$2:$T$34,2)</f>
        <v>田中ゆずほ</v>
      </c>
      <c r="S4" s="16">
        <v>3</v>
      </c>
      <c r="T4" s="16" t="s">
        <v>3</v>
      </c>
      <c r="U4" s="16" t="s">
        <v>35</v>
      </c>
    </row>
    <row r="5" spans="1:23" ht="35" customHeight="1" thickBot="1" x14ac:dyDescent="0.75">
      <c r="A5" s="7"/>
      <c r="B5" s="8"/>
      <c r="C5" s="9"/>
      <c r="D5" s="10"/>
      <c r="E5" s="8"/>
      <c r="F5" s="69"/>
      <c r="G5" s="10"/>
      <c r="H5" s="8"/>
      <c r="I5" s="9"/>
      <c r="J5" s="10"/>
      <c r="K5" s="11"/>
      <c r="M5" s="7"/>
      <c r="N5" s="8"/>
      <c r="O5" s="9"/>
      <c r="P5" s="10"/>
      <c r="Q5" s="11"/>
      <c r="S5" s="16">
        <v>4</v>
      </c>
      <c r="T5" s="16" t="s">
        <v>4</v>
      </c>
      <c r="U5" s="16" t="s">
        <v>35</v>
      </c>
    </row>
    <row r="6" spans="1:23" ht="21.5" customHeight="1" thickBot="1" x14ac:dyDescent="0.75">
      <c r="S6" s="16">
        <v>5</v>
      </c>
      <c r="T6" s="16" t="s">
        <v>5</v>
      </c>
      <c r="U6" s="16" t="s">
        <v>34</v>
      </c>
    </row>
    <row r="7" spans="1:23" s="16" customFormat="1" ht="35" customHeight="1" x14ac:dyDescent="0.7">
      <c r="A7" s="12">
        <v>18</v>
      </c>
      <c r="B7" s="13" t="str">
        <f>VLOOKUP(A7,$S$2:$T$34,2)</f>
        <v>庄古あかり</v>
      </c>
      <c r="C7" s="14"/>
      <c r="D7" s="15">
        <v>2</v>
      </c>
      <c r="E7" s="21" t="str">
        <f>VLOOKUP(D7,$S$2:$T$34,2)</f>
        <v>井口しゅう</v>
      </c>
      <c r="G7" s="12">
        <v>26</v>
      </c>
      <c r="H7" s="13" t="str">
        <f>VLOOKUP(G7,$S$2:$T$34,2)</f>
        <v>豊田ひな</v>
      </c>
      <c r="I7" s="14"/>
      <c r="J7" s="15">
        <v>13</v>
      </c>
      <c r="K7" s="21" t="str">
        <f>VLOOKUP(J7,$S$2:$T$34,2)</f>
        <v>小林ふうが</v>
      </c>
      <c r="M7" s="12">
        <v>19</v>
      </c>
      <c r="N7" s="13" t="str">
        <f>VLOOKUP(M7,$S$2:$T$34,2)</f>
        <v>鈴木ことな</v>
      </c>
      <c r="O7" s="14"/>
      <c r="P7" s="15">
        <v>11</v>
      </c>
      <c r="Q7" s="21" t="str">
        <f>VLOOKUP(P7,$S$2:$T$34,2)</f>
        <v>久野よしあき</v>
      </c>
      <c r="S7" s="16">
        <v>6</v>
      </c>
      <c r="T7" s="16" t="s">
        <v>6</v>
      </c>
      <c r="U7" s="16" t="s">
        <v>34</v>
      </c>
      <c r="W7"/>
    </row>
    <row r="8" spans="1:23" ht="35" customHeight="1" x14ac:dyDescent="0.7">
      <c r="A8" s="4"/>
      <c r="B8" s="2"/>
      <c r="D8" s="1"/>
      <c r="E8" s="5"/>
      <c r="G8" s="4"/>
      <c r="H8" s="2"/>
      <c r="J8" s="1"/>
      <c r="K8" s="5"/>
      <c r="M8" s="4"/>
      <c r="N8" s="2"/>
      <c r="P8" s="1"/>
      <c r="Q8" s="5"/>
      <c r="S8" s="16">
        <v>7</v>
      </c>
      <c r="T8" s="16" t="s">
        <v>7</v>
      </c>
      <c r="U8" s="16" t="s">
        <v>35</v>
      </c>
    </row>
    <row r="9" spans="1:23" ht="21.5" customHeight="1" x14ac:dyDescent="0.7">
      <c r="A9" s="4"/>
      <c r="B9" s="3"/>
      <c r="C9" s="26">
        <v>2</v>
      </c>
      <c r="D9" s="3"/>
      <c r="E9" s="5"/>
      <c r="G9" s="6"/>
      <c r="H9" s="3"/>
      <c r="I9" s="26">
        <v>4</v>
      </c>
      <c r="J9" s="3"/>
      <c r="K9" s="5"/>
      <c r="M9" s="6"/>
      <c r="N9" s="3"/>
      <c r="O9" s="26">
        <v>7</v>
      </c>
      <c r="P9" s="3"/>
      <c r="Q9" s="5"/>
      <c r="S9" s="16">
        <v>8</v>
      </c>
      <c r="T9" s="16" t="s">
        <v>8</v>
      </c>
      <c r="U9" s="16" t="s">
        <v>34</v>
      </c>
    </row>
    <row r="10" spans="1:23" s="16" customFormat="1" ht="35" customHeight="1" x14ac:dyDescent="0.7">
      <c r="A10" s="22">
        <v>4</v>
      </c>
      <c r="B10" s="23" t="str">
        <f>VLOOKUP(A10,$S$2:$T$34,2)</f>
        <v>磯部あさひ</v>
      </c>
      <c r="D10" s="24">
        <v>5</v>
      </c>
      <c r="E10" s="25" t="str">
        <f>VLOOKUP(D10,$S$2:$T$34,2)</f>
        <v>岩田しの</v>
      </c>
      <c r="G10" s="17">
        <v>10</v>
      </c>
      <c r="H10" s="23" t="str">
        <f>VLOOKUP(G10,$S$2:$T$34,2)</f>
        <v>木下なつき</v>
      </c>
      <c r="J10" s="24">
        <v>21</v>
      </c>
      <c r="K10" s="25" t="str">
        <f>VLOOKUP(J10,$S$2:$T$34,2)</f>
        <v>須山さくら</v>
      </c>
      <c r="M10" s="17">
        <v>3</v>
      </c>
      <c r="N10" s="23" t="str">
        <f>VLOOKUP(M10,$S$2:$T$34,2)</f>
        <v>池田けんしん</v>
      </c>
      <c r="P10" s="24">
        <v>29</v>
      </c>
      <c r="Q10" s="25" t="str">
        <f>VLOOKUP(P10,$S$2:$T$34,2)</f>
        <v>中津川みあ</v>
      </c>
      <c r="S10" s="16">
        <v>9</v>
      </c>
      <c r="T10" s="16" t="s">
        <v>9</v>
      </c>
      <c r="U10" s="16" t="s">
        <v>35</v>
      </c>
    </row>
    <row r="11" spans="1:23" ht="35" customHeight="1" thickBot="1" x14ac:dyDescent="0.75">
      <c r="A11" s="7"/>
      <c r="B11" s="8"/>
      <c r="C11" s="9"/>
      <c r="D11" s="10"/>
      <c r="E11" s="11"/>
      <c r="G11" s="7"/>
      <c r="H11" s="8"/>
      <c r="I11" s="9"/>
      <c r="J11" s="10"/>
      <c r="K11" s="11"/>
      <c r="M11" s="7"/>
      <c r="N11" s="8"/>
      <c r="O11" s="9"/>
      <c r="P11" s="10"/>
      <c r="Q11" s="11"/>
      <c r="S11" s="16">
        <v>10</v>
      </c>
      <c r="T11" s="16" t="s">
        <v>10</v>
      </c>
      <c r="U11" s="16" t="s">
        <v>35</v>
      </c>
    </row>
    <row r="12" spans="1:23" ht="21.5" customHeight="1" thickBot="1" x14ac:dyDescent="0.75">
      <c r="S12" s="16">
        <v>11</v>
      </c>
      <c r="T12" s="16" t="s">
        <v>11</v>
      </c>
      <c r="U12" s="16" t="s">
        <v>35</v>
      </c>
    </row>
    <row r="13" spans="1:23" s="16" customFormat="1" ht="35" customHeight="1" x14ac:dyDescent="0.7">
      <c r="A13" s="12">
        <v>1</v>
      </c>
      <c r="B13" s="13" t="str">
        <f>VLOOKUP(A13,$S$2:$T$34,2)</f>
        <v>青池すみれ</v>
      </c>
      <c r="C13" s="14"/>
      <c r="D13" s="15">
        <v>27</v>
      </c>
      <c r="E13" s="21" t="str">
        <f>VLOOKUP(D13,$S$2:$T$34,2)</f>
        <v>永井りょうま</v>
      </c>
      <c r="G13" s="12">
        <v>15</v>
      </c>
      <c r="H13" s="13" t="str">
        <f>VLOOKUP(G13,$S$2:$T$34,2)</f>
        <v>坂口あやせ</v>
      </c>
      <c r="I13" s="14"/>
      <c r="J13" s="15">
        <v>14</v>
      </c>
      <c r="K13" s="21" t="str">
        <f>VLOOKUP(J13,$S$2:$T$34,2)</f>
        <v>宰川そら</v>
      </c>
      <c r="M13" s="12">
        <v>8</v>
      </c>
      <c r="N13" s="13" t="str">
        <f>VLOOKUP(M13,$S$2:$T$34,2)</f>
        <v>大橋すい</v>
      </c>
      <c r="O13" s="14"/>
      <c r="P13" s="15">
        <v>7</v>
      </c>
      <c r="Q13" s="21" t="str">
        <f>VLOOKUP(P13,$S$2:$T$34,2)</f>
        <v>大場はるた</v>
      </c>
      <c r="S13" s="16">
        <v>12</v>
      </c>
      <c r="T13" s="16" t="s">
        <v>12</v>
      </c>
      <c r="U13" s="16" t="s">
        <v>35</v>
      </c>
    </row>
    <row r="14" spans="1:23" ht="35" customHeight="1" x14ac:dyDescent="0.7">
      <c r="A14" s="4"/>
      <c r="B14" s="2"/>
      <c r="D14" s="1"/>
      <c r="E14" s="5"/>
      <c r="G14" s="4"/>
      <c r="H14" s="2"/>
      <c r="J14" s="1"/>
      <c r="K14" s="5"/>
      <c r="M14" s="4"/>
      <c r="N14" s="2"/>
      <c r="P14" s="1"/>
      <c r="Q14" s="5"/>
      <c r="S14" s="16">
        <v>13</v>
      </c>
      <c r="T14" s="16" t="s">
        <v>13</v>
      </c>
      <c r="U14" s="16" t="s">
        <v>35</v>
      </c>
    </row>
    <row r="15" spans="1:23" ht="21.5" customHeight="1" x14ac:dyDescent="0.7">
      <c r="A15" s="4"/>
      <c r="B15" s="3"/>
      <c r="C15" s="26">
        <v>1</v>
      </c>
      <c r="D15" s="3"/>
      <c r="E15" s="5"/>
      <c r="G15" s="6"/>
      <c r="H15" s="3"/>
      <c r="I15" s="26">
        <v>3</v>
      </c>
      <c r="J15" s="3"/>
      <c r="K15" s="5"/>
      <c r="M15" s="6"/>
      <c r="N15" s="3"/>
      <c r="O15" s="26">
        <v>6</v>
      </c>
      <c r="P15" s="3"/>
      <c r="Q15" s="5"/>
      <c r="S15" s="16">
        <v>14</v>
      </c>
      <c r="T15" s="16" t="s">
        <v>14</v>
      </c>
      <c r="U15" s="16" t="s">
        <v>35</v>
      </c>
    </row>
    <row r="16" spans="1:23" s="16" customFormat="1" ht="35" customHeight="1" x14ac:dyDescent="0.7">
      <c r="A16" s="22">
        <v>32</v>
      </c>
      <c r="B16" s="23" t="str">
        <f>VLOOKUP(A16,$S$2:$T$34,2)</f>
        <v>牧野そうた</v>
      </c>
      <c r="D16" s="24">
        <v>6</v>
      </c>
      <c r="E16" s="25" t="str">
        <f>VLOOKUP(D16,$S$2:$T$34,2)</f>
        <v>江藤ひいらぎ</v>
      </c>
      <c r="G16" s="17">
        <v>20</v>
      </c>
      <c r="H16" s="23" t="str">
        <f>VLOOKUP(G16,$S$2:$T$34,2)</f>
        <v>鈴木はるま</v>
      </c>
      <c r="J16" s="24">
        <v>33</v>
      </c>
      <c r="K16" s="25" t="str">
        <f>VLOOKUP(J16,$S$2:$T$34,2)</f>
        <v>山田りく</v>
      </c>
      <c r="M16" s="17">
        <v>31</v>
      </c>
      <c r="N16" s="23" t="str">
        <f>VLOOKUP(M16,$S$2:$T$34,2)</f>
        <v>藤原せいご</v>
      </c>
      <c r="P16" s="24">
        <v>25</v>
      </c>
      <c r="Q16" s="25" t="str">
        <f>VLOOKUP(P16,$S$2:$T$34,2)</f>
        <v>鶴巻りおな</v>
      </c>
      <c r="S16" s="16">
        <v>15</v>
      </c>
      <c r="T16" s="16" t="s">
        <v>15</v>
      </c>
      <c r="U16" s="16" t="s">
        <v>34</v>
      </c>
    </row>
    <row r="17" spans="1:22" ht="35" customHeight="1" thickBot="1" x14ac:dyDescent="0.75">
      <c r="A17" s="7"/>
      <c r="B17" s="8"/>
      <c r="C17" s="9"/>
      <c r="D17" s="10"/>
      <c r="E17" s="11"/>
      <c r="G17" s="7"/>
      <c r="H17" s="8"/>
      <c r="I17" s="9"/>
      <c r="J17" s="10"/>
      <c r="K17" s="11"/>
      <c r="M17" s="7"/>
      <c r="N17" s="8"/>
      <c r="O17" s="9"/>
      <c r="P17" s="10"/>
      <c r="Q17" s="11"/>
      <c r="S17" s="16">
        <v>16</v>
      </c>
      <c r="T17" s="16" t="s">
        <v>16</v>
      </c>
      <c r="U17" s="16" t="s">
        <v>34</v>
      </c>
    </row>
    <row r="18" spans="1:22" ht="35.75" customHeight="1" x14ac:dyDescent="0.7">
      <c r="S18" s="16">
        <v>17</v>
      </c>
      <c r="T18" s="16" t="s">
        <v>17</v>
      </c>
      <c r="U18" s="16" t="s">
        <v>34</v>
      </c>
    </row>
    <row r="19" spans="1:22" ht="35.75" customHeight="1" x14ac:dyDescent="0.7">
      <c r="S19" s="16">
        <v>18</v>
      </c>
      <c r="T19" s="16" t="s">
        <v>18</v>
      </c>
      <c r="U19" s="16" t="s">
        <v>34</v>
      </c>
      <c r="V19" s="16">
        <v>1</v>
      </c>
    </row>
    <row r="20" spans="1:22" ht="35.75" customHeight="1" x14ac:dyDescent="0.7">
      <c r="S20" s="16">
        <v>19</v>
      </c>
      <c r="T20" s="16" t="s">
        <v>19</v>
      </c>
      <c r="U20" s="16" t="s">
        <v>34</v>
      </c>
    </row>
    <row r="21" spans="1:22" ht="35.75" customHeight="1" x14ac:dyDescent="0.7">
      <c r="S21" s="16">
        <v>20</v>
      </c>
      <c r="T21" s="16" t="s">
        <v>20</v>
      </c>
      <c r="U21" s="16" t="s">
        <v>35</v>
      </c>
    </row>
    <row r="22" spans="1:22" ht="35.75" customHeight="1" x14ac:dyDescent="0.7">
      <c r="S22" s="16">
        <v>21</v>
      </c>
      <c r="T22" s="16" t="s">
        <v>21</v>
      </c>
      <c r="U22" s="16" t="s">
        <v>34</v>
      </c>
      <c r="V22" s="16">
        <v>1</v>
      </c>
    </row>
    <row r="23" spans="1:22" ht="35.75" customHeight="1" x14ac:dyDescent="0.7">
      <c r="S23" s="16">
        <v>22</v>
      </c>
      <c r="T23" s="16" t="s">
        <v>22</v>
      </c>
      <c r="U23" s="16" t="s">
        <v>34</v>
      </c>
    </row>
    <row r="24" spans="1:22" ht="35.75" customHeight="1" x14ac:dyDescent="0.7">
      <c r="S24" s="16">
        <v>24</v>
      </c>
      <c r="T24" s="16" t="s">
        <v>24</v>
      </c>
      <c r="U24" s="16" t="s">
        <v>35</v>
      </c>
    </row>
    <row r="25" spans="1:22" ht="35.75" customHeight="1" x14ac:dyDescent="0.7">
      <c r="S25" s="16">
        <v>25</v>
      </c>
      <c r="T25" s="16" t="s">
        <v>25</v>
      </c>
      <c r="U25" s="16" t="s">
        <v>34</v>
      </c>
    </row>
    <row r="26" spans="1:22" ht="35.75" customHeight="1" x14ac:dyDescent="0.7">
      <c r="S26" s="16">
        <v>26</v>
      </c>
      <c r="T26" s="16" t="s">
        <v>26</v>
      </c>
      <c r="U26" s="16" t="s">
        <v>34</v>
      </c>
    </row>
    <row r="27" spans="1:22" ht="35.75" customHeight="1" x14ac:dyDescent="0.7">
      <c r="S27" s="16">
        <v>27</v>
      </c>
      <c r="T27" s="16" t="s">
        <v>27</v>
      </c>
      <c r="U27" s="16" t="s">
        <v>35</v>
      </c>
      <c r="V27" s="16">
        <v>1</v>
      </c>
    </row>
    <row r="28" spans="1:22" ht="35.75" customHeight="1" x14ac:dyDescent="0.7">
      <c r="S28" s="16">
        <v>28</v>
      </c>
      <c r="T28" s="16" t="s">
        <v>28</v>
      </c>
      <c r="U28" s="16" t="s">
        <v>35</v>
      </c>
    </row>
    <row r="29" spans="1:22" ht="35.75" customHeight="1" x14ac:dyDescent="0.7">
      <c r="S29" s="16">
        <v>29</v>
      </c>
      <c r="T29" s="16" t="s">
        <v>29</v>
      </c>
      <c r="U29" s="16" t="s">
        <v>34</v>
      </c>
    </row>
    <row r="30" spans="1:22" ht="35.75" customHeight="1" x14ac:dyDescent="0.7">
      <c r="S30" s="16">
        <v>30</v>
      </c>
      <c r="T30" s="16" t="s">
        <v>30</v>
      </c>
      <c r="U30" s="16" t="s">
        <v>34</v>
      </c>
      <c r="V30" s="16">
        <v>1</v>
      </c>
    </row>
    <row r="31" spans="1:22" ht="35.75" customHeight="1" x14ac:dyDescent="0.7">
      <c r="S31" s="16">
        <v>31</v>
      </c>
      <c r="T31" s="16" t="s">
        <v>31</v>
      </c>
      <c r="U31" s="16" t="s">
        <v>35</v>
      </c>
      <c r="V31" s="16">
        <v>1</v>
      </c>
    </row>
    <row r="32" spans="1:22" ht="35.75" customHeight="1" x14ac:dyDescent="0.7">
      <c r="S32" s="16">
        <v>32</v>
      </c>
      <c r="T32" s="16" t="s">
        <v>32</v>
      </c>
      <c r="U32" s="16" t="s">
        <v>35</v>
      </c>
      <c r="V32" s="16">
        <v>1</v>
      </c>
    </row>
    <row r="33" spans="19:21" ht="35.75" customHeight="1" x14ac:dyDescent="0.7">
      <c r="S33" s="16">
        <v>33</v>
      </c>
      <c r="T33" s="16" t="s">
        <v>33</v>
      </c>
      <c r="U33" s="16" t="s">
        <v>35</v>
      </c>
    </row>
  </sheetData>
  <mergeCells count="1">
    <mergeCell ref="F4:F5"/>
  </mergeCells>
  <phoneticPr fontId="1"/>
  <pageMargins left="0.25" right="0.25" top="0.33" bottom="0.05" header="0.37" footer="0.21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92D8-C3B0-41CF-80BD-C159E8B29F64}">
  <sheetPr codeName="Sheet2"/>
  <dimension ref="A1:T34"/>
  <sheetViews>
    <sheetView view="pageBreakPreview" topLeftCell="A2" zoomScale="76" zoomScaleNormal="87" zoomScaleSheetLayoutView="70" workbookViewId="0">
      <selection activeCell="P17" sqref="P17"/>
    </sheetView>
  </sheetViews>
  <sheetFormatPr defaultRowHeight="35.75" customHeight="1" x14ac:dyDescent="0.7"/>
  <cols>
    <col min="1" max="1" width="5" customWidth="1"/>
    <col min="2" max="2" width="12.1875" customWidth="1"/>
    <col min="3" max="3" width="2.125" customWidth="1"/>
    <col min="4" max="4" width="5" customWidth="1"/>
    <col min="5" max="5" width="12.1875" customWidth="1"/>
    <col min="7" max="7" width="5" customWidth="1"/>
    <col min="8" max="8" width="12.1875" customWidth="1"/>
    <col min="9" max="9" width="2.125" customWidth="1"/>
    <col min="10" max="10" width="5" customWidth="1"/>
    <col min="11" max="11" width="12.1875" customWidth="1"/>
    <col min="13" max="13" width="5" customWidth="1"/>
    <col min="14" max="14" width="12.1875" customWidth="1"/>
    <col min="15" max="15" width="2.125" customWidth="1"/>
    <col min="16" max="16" width="5" customWidth="1"/>
    <col min="17" max="17" width="12.1875" customWidth="1"/>
    <col min="19" max="20" width="8.8125" style="16"/>
  </cols>
  <sheetData>
    <row r="1" spans="1:20" s="16" customFormat="1" ht="35" customHeight="1" x14ac:dyDescent="0.7">
      <c r="A1" s="18"/>
      <c r="B1" s="19" t="s">
        <v>0</v>
      </c>
      <c r="C1" s="19"/>
      <c r="D1" s="19"/>
      <c r="E1" s="19"/>
      <c r="F1" s="19"/>
      <c r="G1" s="19"/>
      <c r="H1" s="19"/>
      <c r="I1" s="19"/>
      <c r="J1" s="19"/>
      <c r="K1" s="20"/>
      <c r="M1" s="12">
        <v>19</v>
      </c>
      <c r="N1" s="13" t="str">
        <f>VLOOKUP(M1,$S$2:$T$35,2)</f>
        <v>鈴木ことな</v>
      </c>
      <c r="O1" s="14"/>
      <c r="P1" s="15">
        <v>31</v>
      </c>
      <c r="Q1" s="21" t="str">
        <f>VLOOKUP(P1,$S$2:$T$35,2)</f>
        <v>藤原せいご</v>
      </c>
    </row>
    <row r="2" spans="1:20" ht="35" customHeight="1" x14ac:dyDescent="0.7">
      <c r="A2" s="1"/>
      <c r="B2" s="3"/>
      <c r="C2" s="3"/>
      <c r="D2" s="3"/>
      <c r="E2" s="3"/>
      <c r="F2" s="3"/>
      <c r="G2" s="3"/>
      <c r="H2" s="3"/>
      <c r="I2" s="3"/>
      <c r="J2" s="3"/>
      <c r="K2" s="2"/>
      <c r="M2" s="4"/>
      <c r="N2" s="2"/>
      <c r="P2" s="1"/>
      <c r="Q2" s="5"/>
      <c r="S2" s="16">
        <v>1</v>
      </c>
      <c r="T2" s="16" t="s">
        <v>1</v>
      </c>
    </row>
    <row r="3" spans="1:20" ht="21.5" customHeight="1" thickBot="1" x14ac:dyDescent="0.75">
      <c r="M3" s="6"/>
      <c r="N3" s="3"/>
      <c r="O3" s="26">
        <v>8</v>
      </c>
      <c r="P3" s="3"/>
      <c r="Q3" s="5"/>
      <c r="S3" s="16">
        <v>2</v>
      </c>
      <c r="T3" s="16" t="s">
        <v>2</v>
      </c>
    </row>
    <row r="4" spans="1:20" s="16" customFormat="1" ht="35" customHeight="1" x14ac:dyDescent="0.7">
      <c r="A4" s="12">
        <v>4</v>
      </c>
      <c r="B4" s="13" t="str">
        <f>VLOOKUP(A4,$S$2:$T$35,2)</f>
        <v>磯部あさひ</v>
      </c>
      <c r="C4" s="14"/>
      <c r="D4" s="15">
        <v>15</v>
      </c>
      <c r="E4" s="13" t="str">
        <f>VLOOKUP(D4,$S$2:$T$35,2)</f>
        <v>坂口あやせ</v>
      </c>
      <c r="F4" s="68">
        <v>5</v>
      </c>
      <c r="G4" s="15">
        <v>20</v>
      </c>
      <c r="H4" s="13" t="str">
        <f>VLOOKUP(G4,$S$2:$T$35,2)</f>
        <v>鈴木はるま</v>
      </c>
      <c r="I4" s="14"/>
      <c r="J4" s="15">
        <v>30</v>
      </c>
      <c r="K4" s="21" t="str">
        <f>VLOOKUP(J4,$S$2:$T$35,2)</f>
        <v>藤森あおい</v>
      </c>
      <c r="M4" s="17">
        <v>13</v>
      </c>
      <c r="N4" s="23" t="str">
        <f>VLOOKUP(M4,$S$2:$T$35,2)</f>
        <v>小林ふうが</v>
      </c>
      <c r="P4" s="24">
        <v>1</v>
      </c>
      <c r="Q4" s="25" t="str">
        <f>VLOOKUP(P4,$S$2:$T$35,2)</f>
        <v>青池すみれ</v>
      </c>
      <c r="S4" s="16">
        <v>3</v>
      </c>
      <c r="T4" s="16" t="s">
        <v>3</v>
      </c>
    </row>
    <row r="5" spans="1:20" ht="35" customHeight="1" thickBot="1" x14ac:dyDescent="0.75">
      <c r="A5" s="7"/>
      <c r="B5" s="8"/>
      <c r="C5" s="9"/>
      <c r="D5" s="10"/>
      <c r="E5" s="8"/>
      <c r="F5" s="69"/>
      <c r="G5" s="10"/>
      <c r="H5" s="8"/>
      <c r="I5" s="9"/>
      <c r="J5" s="10"/>
      <c r="K5" s="11"/>
      <c r="M5" s="7"/>
      <c r="N5" s="8"/>
      <c r="O5" s="9"/>
      <c r="P5" s="10"/>
      <c r="Q5" s="11"/>
      <c r="S5" s="16">
        <v>4</v>
      </c>
      <c r="T5" s="16" t="s">
        <v>4</v>
      </c>
    </row>
    <row r="6" spans="1:20" ht="21.5" customHeight="1" thickBot="1" x14ac:dyDescent="0.75">
      <c r="S6" s="16">
        <v>5</v>
      </c>
      <c r="T6" s="16" t="s">
        <v>5</v>
      </c>
    </row>
    <row r="7" spans="1:20" s="16" customFormat="1" ht="35" customHeight="1" x14ac:dyDescent="0.7">
      <c r="A7" s="12">
        <v>21</v>
      </c>
      <c r="B7" s="13" t="str">
        <f>VLOOKUP(A7,$S$2:$T$35,2)</f>
        <v>須山さくら</v>
      </c>
      <c r="C7" s="14"/>
      <c r="D7" s="15">
        <v>24</v>
      </c>
      <c r="E7" s="21" t="str">
        <f>VLOOKUP(D7,$S$2:$T$35,2)</f>
        <v>坪井はるき</v>
      </c>
      <c r="G7" s="12">
        <v>5</v>
      </c>
      <c r="H7" s="13" t="str">
        <f>VLOOKUP(G7,$S$2:$T$35,2)</f>
        <v>岩田しの</v>
      </c>
      <c r="I7" s="14"/>
      <c r="J7" s="15">
        <v>33</v>
      </c>
      <c r="K7" s="21" t="str">
        <f>VLOOKUP(J7,$S$2:$T$35,2)</f>
        <v>山田りく</v>
      </c>
      <c r="M7" s="12">
        <v>17</v>
      </c>
      <c r="N7" s="13" t="str">
        <f>VLOOKUP(M7,$S$2:$T$35,2)</f>
        <v>清水りお</v>
      </c>
      <c r="O7" s="14"/>
      <c r="P7" s="15">
        <v>10</v>
      </c>
      <c r="Q7" s="21" t="str">
        <f>VLOOKUP(P7,$S$2:$T$35,2)</f>
        <v>木下なつき</v>
      </c>
      <c r="S7" s="16">
        <v>6</v>
      </c>
      <c r="T7" s="16" t="s">
        <v>6</v>
      </c>
    </row>
    <row r="8" spans="1:20" ht="35" customHeight="1" x14ac:dyDescent="0.7">
      <c r="A8" s="4"/>
      <c r="B8" s="2"/>
      <c r="D8" s="1"/>
      <c r="E8" s="5"/>
      <c r="G8" s="4"/>
      <c r="H8" s="2"/>
      <c r="J8" s="1"/>
      <c r="K8" s="5"/>
      <c r="M8" s="4"/>
      <c r="N8" s="2"/>
      <c r="P8" s="1"/>
      <c r="Q8" s="5"/>
      <c r="S8" s="16">
        <v>7</v>
      </c>
      <c r="T8" s="16" t="s">
        <v>7</v>
      </c>
    </row>
    <row r="9" spans="1:20" ht="21.5" customHeight="1" x14ac:dyDescent="0.7">
      <c r="A9" s="4"/>
      <c r="B9" s="3"/>
      <c r="C9" s="26">
        <v>2</v>
      </c>
      <c r="D9" s="3"/>
      <c r="E9" s="5"/>
      <c r="G9" s="6"/>
      <c r="H9" s="3"/>
      <c r="I9" s="26">
        <v>4</v>
      </c>
      <c r="J9" s="3"/>
      <c r="K9" s="5"/>
      <c r="M9" s="6"/>
      <c r="N9" s="3"/>
      <c r="O9" s="26">
        <v>7</v>
      </c>
      <c r="P9" s="3"/>
      <c r="Q9" s="5"/>
      <c r="S9" s="16">
        <v>8</v>
      </c>
      <c r="T9" s="16" t="s">
        <v>8</v>
      </c>
    </row>
    <row r="10" spans="1:20" s="16" customFormat="1" ht="35" customHeight="1" x14ac:dyDescent="0.7">
      <c r="A10" s="22">
        <v>12</v>
      </c>
      <c r="B10" s="23" t="str">
        <f>VLOOKUP(A10,$S$2:$T$35,2)</f>
        <v>小林だいち</v>
      </c>
      <c r="D10" s="24">
        <v>8</v>
      </c>
      <c r="E10" s="25" t="str">
        <f>VLOOKUP(D10,$S$2:$T$35,2)</f>
        <v>大橋すい</v>
      </c>
      <c r="G10" s="17">
        <v>2</v>
      </c>
      <c r="H10" s="23" t="str">
        <f>VLOOKUP(G10,$S$2:$T$35,2)</f>
        <v>井口しゅう</v>
      </c>
      <c r="J10" s="24">
        <v>18</v>
      </c>
      <c r="K10" s="25" t="str">
        <f>VLOOKUP(J10,$S$2:$T$35,2)</f>
        <v>庄古あかり</v>
      </c>
      <c r="M10" s="17">
        <v>28</v>
      </c>
      <c r="N10" s="23" t="str">
        <f>VLOOKUP(M10,$S$2:$T$35,2)</f>
        <v>中沢けんじ</v>
      </c>
      <c r="P10" s="24">
        <v>6</v>
      </c>
      <c r="Q10" s="25" t="str">
        <f>VLOOKUP(P10,$S$2:$T$35,2)</f>
        <v>江藤ひいらぎ</v>
      </c>
      <c r="S10" s="16">
        <v>9</v>
      </c>
      <c r="T10" s="16" t="s">
        <v>9</v>
      </c>
    </row>
    <row r="11" spans="1:20" ht="35" customHeight="1" thickBot="1" x14ac:dyDescent="0.75">
      <c r="A11" s="7"/>
      <c r="B11" s="8"/>
      <c r="C11" s="9"/>
      <c r="D11" s="10"/>
      <c r="E11" s="11"/>
      <c r="G11" s="7"/>
      <c r="H11" s="8"/>
      <c r="I11" s="9"/>
      <c r="J11" s="10"/>
      <c r="K11" s="11"/>
      <c r="M11" s="7"/>
      <c r="N11" s="8"/>
      <c r="O11" s="9"/>
      <c r="P11" s="10"/>
      <c r="Q11" s="11"/>
      <c r="S11" s="16">
        <v>10</v>
      </c>
      <c r="T11" s="16" t="s">
        <v>10</v>
      </c>
    </row>
    <row r="12" spans="1:20" ht="21.5" customHeight="1" thickBot="1" x14ac:dyDescent="0.75">
      <c r="S12" s="16">
        <v>11</v>
      </c>
      <c r="T12" s="16" t="s">
        <v>11</v>
      </c>
    </row>
    <row r="13" spans="1:20" s="16" customFormat="1" ht="35" customHeight="1" x14ac:dyDescent="0.7">
      <c r="A13" s="12">
        <v>16</v>
      </c>
      <c r="B13" s="13" t="str">
        <f>VLOOKUP(A13,$S$2:$T$35,2)</f>
        <v>佐藤べに</v>
      </c>
      <c r="C13" s="14"/>
      <c r="D13" s="15">
        <v>11</v>
      </c>
      <c r="E13" s="21" t="str">
        <f>VLOOKUP(D13,$S$2:$T$35,2)</f>
        <v>久野よしあき</v>
      </c>
      <c r="G13" s="12">
        <v>25</v>
      </c>
      <c r="H13" s="13" t="str">
        <f>VLOOKUP(G13,$S$2:$T$35,2)</f>
        <v>鶴巻りおな</v>
      </c>
      <c r="I13" s="14"/>
      <c r="J13" s="15">
        <v>27</v>
      </c>
      <c r="K13" s="21" t="str">
        <f>VLOOKUP(J13,$S$2:$T$35,2)</f>
        <v>永井りょうま</v>
      </c>
      <c r="M13" s="12">
        <v>29</v>
      </c>
      <c r="N13" s="13" t="str">
        <f>VLOOKUP(M13,$S$2:$T$35,2)</f>
        <v>中津川みあ</v>
      </c>
      <c r="O13" s="14"/>
      <c r="P13" s="15">
        <v>7</v>
      </c>
      <c r="Q13" s="21" t="str">
        <f>VLOOKUP(P13,$S$2:$T$35,2)</f>
        <v>大場はるた</v>
      </c>
      <c r="S13" s="16">
        <v>12</v>
      </c>
      <c r="T13" s="16" t="s">
        <v>12</v>
      </c>
    </row>
    <row r="14" spans="1:20" ht="35" customHeight="1" x14ac:dyDescent="0.7">
      <c r="A14" s="4"/>
      <c r="B14" s="2"/>
      <c r="D14" s="1"/>
      <c r="E14" s="5"/>
      <c r="G14" s="4"/>
      <c r="H14" s="2"/>
      <c r="J14" s="1"/>
      <c r="K14" s="5"/>
      <c r="M14" s="4"/>
      <c r="N14" s="2"/>
      <c r="P14" s="1"/>
      <c r="Q14" s="5"/>
      <c r="S14" s="16">
        <v>13</v>
      </c>
      <c r="T14" s="16" t="s">
        <v>13</v>
      </c>
    </row>
    <row r="15" spans="1:20" ht="21.5" customHeight="1" x14ac:dyDescent="0.7">
      <c r="A15" s="4"/>
      <c r="B15" s="3"/>
      <c r="C15" s="26">
        <v>1</v>
      </c>
      <c r="D15" s="3"/>
      <c r="E15" s="5"/>
      <c r="G15" s="6"/>
      <c r="H15" s="3"/>
      <c r="I15" s="26">
        <v>3</v>
      </c>
      <c r="J15" s="3"/>
      <c r="K15" s="5"/>
      <c r="M15" s="6"/>
      <c r="N15" s="3"/>
      <c r="O15" s="26">
        <v>6</v>
      </c>
      <c r="P15" s="3"/>
      <c r="Q15" s="5"/>
      <c r="S15" s="16">
        <v>14</v>
      </c>
      <c r="T15" s="16" t="s">
        <v>14</v>
      </c>
    </row>
    <row r="16" spans="1:20" s="16" customFormat="1" ht="35" customHeight="1" x14ac:dyDescent="0.7">
      <c r="A16" s="22">
        <v>9</v>
      </c>
      <c r="B16" s="23" t="str">
        <f>VLOOKUP(A16,$S$2:$T$35,2)</f>
        <v>川島ゆうや</v>
      </c>
      <c r="D16" s="24">
        <v>26</v>
      </c>
      <c r="E16" s="25" t="str">
        <f>VLOOKUP(D16,$S$2:$T$35,2)</f>
        <v>豊田ひな</v>
      </c>
      <c r="G16" s="17">
        <v>14</v>
      </c>
      <c r="H16" s="23" t="str">
        <f>VLOOKUP(G16,$S$2:$T$35,2)</f>
        <v>宰川そら</v>
      </c>
      <c r="J16" s="24">
        <v>32</v>
      </c>
      <c r="K16" s="25" t="str">
        <f>VLOOKUP(J16,$S$2:$T$35,2)</f>
        <v>牧野そうた</v>
      </c>
      <c r="M16" s="17">
        <v>3</v>
      </c>
      <c r="N16" s="23" t="str">
        <f>VLOOKUP(M16,$S$2:$T$35,2)</f>
        <v>池田けんしん</v>
      </c>
      <c r="P16" s="24">
        <v>22</v>
      </c>
      <c r="Q16" s="25" t="str">
        <f>VLOOKUP(P16,$S$2:$T$35,2)</f>
        <v>田中ゆずほ</v>
      </c>
      <c r="S16" s="16">
        <v>15</v>
      </c>
      <c r="T16" s="16" t="s">
        <v>15</v>
      </c>
    </row>
    <row r="17" spans="1:20" ht="35" customHeight="1" thickBot="1" x14ac:dyDescent="0.75">
      <c r="A17" s="7"/>
      <c r="B17" s="8"/>
      <c r="C17" s="9"/>
      <c r="D17" s="10"/>
      <c r="E17" s="11"/>
      <c r="G17" s="7"/>
      <c r="H17" s="8"/>
      <c r="I17" s="9"/>
      <c r="J17" s="10"/>
      <c r="K17" s="11"/>
      <c r="M17" s="7"/>
      <c r="N17" s="8"/>
      <c r="O17" s="9"/>
      <c r="P17" s="10"/>
      <c r="Q17" s="11"/>
      <c r="S17" s="16">
        <v>16</v>
      </c>
      <c r="T17" s="16" t="s">
        <v>16</v>
      </c>
    </row>
    <row r="18" spans="1:20" ht="35.75" customHeight="1" x14ac:dyDescent="0.7">
      <c r="S18" s="16">
        <v>17</v>
      </c>
      <c r="T18" s="16" t="s">
        <v>17</v>
      </c>
    </row>
    <row r="19" spans="1:20" ht="35.75" customHeight="1" x14ac:dyDescent="0.7">
      <c r="S19" s="16">
        <v>18</v>
      </c>
      <c r="T19" s="16" t="s">
        <v>18</v>
      </c>
    </row>
    <row r="20" spans="1:20" ht="35.75" customHeight="1" x14ac:dyDescent="0.7">
      <c r="S20" s="16">
        <v>19</v>
      </c>
      <c r="T20" s="16" t="s">
        <v>19</v>
      </c>
    </row>
    <row r="21" spans="1:20" ht="35.75" customHeight="1" x14ac:dyDescent="0.7">
      <c r="S21" s="16">
        <v>20</v>
      </c>
      <c r="T21" s="16" t="s">
        <v>20</v>
      </c>
    </row>
    <row r="22" spans="1:20" ht="35.75" customHeight="1" x14ac:dyDescent="0.7">
      <c r="S22" s="16">
        <v>21</v>
      </c>
      <c r="T22" s="16" t="s">
        <v>21</v>
      </c>
    </row>
    <row r="23" spans="1:20" ht="35.75" customHeight="1" x14ac:dyDescent="0.7">
      <c r="S23" s="16">
        <v>22</v>
      </c>
      <c r="T23" s="16" t="s">
        <v>22</v>
      </c>
    </row>
    <row r="24" spans="1:20" ht="35.75" customHeight="1" x14ac:dyDescent="0.7">
      <c r="S24" s="16">
        <v>23</v>
      </c>
      <c r="T24" s="16" t="s">
        <v>23</v>
      </c>
    </row>
    <row r="25" spans="1:20" ht="35.75" customHeight="1" x14ac:dyDescent="0.7">
      <c r="S25" s="16">
        <v>24</v>
      </c>
      <c r="T25" s="16" t="s">
        <v>24</v>
      </c>
    </row>
    <row r="26" spans="1:20" ht="35.75" customHeight="1" x14ac:dyDescent="0.7">
      <c r="S26" s="16">
        <v>25</v>
      </c>
      <c r="T26" s="16" t="s">
        <v>25</v>
      </c>
    </row>
    <row r="27" spans="1:20" ht="35.75" customHeight="1" x14ac:dyDescent="0.7">
      <c r="S27" s="16">
        <v>26</v>
      </c>
      <c r="T27" s="16" t="s">
        <v>26</v>
      </c>
    </row>
    <row r="28" spans="1:20" ht="35.75" customHeight="1" x14ac:dyDescent="0.7">
      <c r="S28" s="16">
        <v>27</v>
      </c>
      <c r="T28" s="16" t="s">
        <v>27</v>
      </c>
    </row>
    <row r="29" spans="1:20" ht="35.75" customHeight="1" x14ac:dyDescent="0.7">
      <c r="S29" s="16">
        <v>28</v>
      </c>
      <c r="T29" s="16" t="s">
        <v>28</v>
      </c>
    </row>
    <row r="30" spans="1:20" ht="35.75" customHeight="1" x14ac:dyDescent="0.7">
      <c r="S30" s="16">
        <v>29</v>
      </c>
      <c r="T30" s="16" t="s">
        <v>29</v>
      </c>
    </row>
    <row r="31" spans="1:20" ht="35.75" customHeight="1" x14ac:dyDescent="0.7">
      <c r="S31" s="16">
        <v>30</v>
      </c>
      <c r="T31" s="16" t="s">
        <v>30</v>
      </c>
    </row>
    <row r="32" spans="1:20" ht="35.75" customHeight="1" x14ac:dyDescent="0.7">
      <c r="S32" s="16">
        <v>31</v>
      </c>
      <c r="T32" s="16" t="s">
        <v>31</v>
      </c>
    </row>
    <row r="33" spans="19:20" ht="35.75" customHeight="1" x14ac:dyDescent="0.7">
      <c r="S33" s="16">
        <v>32</v>
      </c>
      <c r="T33" s="16" t="s">
        <v>32</v>
      </c>
    </row>
    <row r="34" spans="19:20" ht="35.75" customHeight="1" x14ac:dyDescent="0.7">
      <c r="S34" s="16">
        <v>33</v>
      </c>
      <c r="T34" s="16" t="s">
        <v>33</v>
      </c>
    </row>
  </sheetData>
  <mergeCells count="1">
    <mergeCell ref="F4:F5"/>
  </mergeCells>
  <phoneticPr fontId="1"/>
  <pageMargins left="0.25" right="0.25" top="0.33" bottom="0.05" header="0.37" footer="0.21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57AA-E839-420B-874B-5AEE533EF8BA}">
  <sheetPr codeName="Sheet3"/>
  <dimension ref="A1:T34"/>
  <sheetViews>
    <sheetView view="pageBreakPreview" topLeftCell="A22" zoomScale="86" zoomScaleNormal="87" zoomScaleSheetLayoutView="70" workbookViewId="0">
      <selection activeCell="T2" sqref="T2:T34"/>
    </sheetView>
  </sheetViews>
  <sheetFormatPr defaultRowHeight="35.75" customHeight="1" x14ac:dyDescent="0.7"/>
  <cols>
    <col min="1" max="1" width="5" customWidth="1"/>
    <col min="2" max="2" width="12.1875" customWidth="1"/>
    <col min="3" max="3" width="2.125" customWidth="1"/>
    <col min="4" max="4" width="5" customWidth="1"/>
    <col min="5" max="5" width="12.1875" customWidth="1"/>
    <col min="7" max="7" width="5" customWidth="1"/>
    <col min="8" max="8" width="12.1875" customWidth="1"/>
    <col min="9" max="9" width="2.125" customWidth="1"/>
    <col min="10" max="10" width="5" customWidth="1"/>
    <col min="11" max="11" width="12.1875" customWidth="1"/>
    <col min="13" max="13" width="5" customWidth="1"/>
    <col min="14" max="14" width="12.1875" customWidth="1"/>
    <col min="15" max="15" width="2.125" customWidth="1"/>
    <col min="16" max="16" width="5" customWidth="1"/>
    <col min="17" max="17" width="12.1875" customWidth="1"/>
    <col min="19" max="19" width="8.8125" style="16"/>
    <col min="20" max="20" width="9" style="16"/>
  </cols>
  <sheetData>
    <row r="1" spans="1:20" s="16" customFormat="1" ht="35" customHeight="1" x14ac:dyDescent="0.7">
      <c r="A1" s="18"/>
      <c r="B1" s="19" t="s">
        <v>0</v>
      </c>
      <c r="C1" s="19"/>
      <c r="D1" s="19"/>
      <c r="E1" s="19"/>
      <c r="F1" s="19"/>
      <c r="G1" s="19"/>
      <c r="H1" s="19"/>
      <c r="I1" s="19"/>
      <c r="J1" s="19"/>
      <c r="K1" s="20"/>
      <c r="M1" s="12">
        <v>22</v>
      </c>
      <c r="N1" s="13" t="str">
        <f>VLOOKUP(M1,$S$2:$T$35,2)</f>
        <v>田中ゆずほ</v>
      </c>
      <c r="O1" s="14"/>
      <c r="P1" s="15">
        <v>4</v>
      </c>
      <c r="Q1" s="21" t="str">
        <f>VLOOKUP(P1,$S$2:$T$35,2)</f>
        <v>磯部あさひ</v>
      </c>
    </row>
    <row r="2" spans="1:20" ht="35" customHeight="1" x14ac:dyDescent="0.7">
      <c r="A2" s="1"/>
      <c r="B2" s="3"/>
      <c r="C2" s="3"/>
      <c r="D2" s="3"/>
      <c r="E2" s="3"/>
      <c r="F2" s="3"/>
      <c r="G2" s="3"/>
      <c r="H2" s="3"/>
      <c r="I2" s="3"/>
      <c r="J2" s="3"/>
      <c r="K2" s="2"/>
      <c r="M2" s="4"/>
      <c r="N2" s="2"/>
      <c r="P2" s="1"/>
      <c r="Q2" s="5"/>
      <c r="S2" s="16">
        <v>1</v>
      </c>
      <c r="T2" s="16" t="s">
        <v>1</v>
      </c>
    </row>
    <row r="3" spans="1:20" ht="21.5" customHeight="1" thickBot="1" x14ac:dyDescent="0.75">
      <c r="M3" s="6"/>
      <c r="N3" s="3"/>
      <c r="O3" s="26">
        <v>8</v>
      </c>
      <c r="P3" s="3"/>
      <c r="Q3" s="5"/>
      <c r="S3" s="16">
        <v>2</v>
      </c>
      <c r="T3" s="16" t="s">
        <v>2</v>
      </c>
    </row>
    <row r="4" spans="1:20" s="16" customFormat="1" ht="35" customHeight="1" x14ac:dyDescent="0.7">
      <c r="A4" s="12">
        <v>27</v>
      </c>
      <c r="B4" s="13" t="str">
        <f>VLOOKUP(A4,$S$2:$T$35,2)</f>
        <v>永井りょうま</v>
      </c>
      <c r="C4" s="14"/>
      <c r="D4" s="15">
        <v>8</v>
      </c>
      <c r="E4" s="13" t="str">
        <f>VLOOKUP(D4,$S$2:$T$35,2)</f>
        <v>大橋すい</v>
      </c>
      <c r="F4" s="68">
        <v>5</v>
      </c>
      <c r="G4" s="15">
        <v>9</v>
      </c>
      <c r="H4" s="13" t="str">
        <f>VLOOKUP(G4,$S$2:$T$35,2)</f>
        <v>川島ゆうや</v>
      </c>
      <c r="I4" s="14"/>
      <c r="J4" s="15">
        <v>19</v>
      </c>
      <c r="K4" s="21" t="str">
        <f>VLOOKUP(J4,$S$2:$T$35,2)</f>
        <v>鈴木ことな</v>
      </c>
      <c r="M4" s="17">
        <v>20</v>
      </c>
      <c r="N4" s="23" t="str">
        <f>VLOOKUP(M4,$S$2:$T$35,2)</f>
        <v>鈴木はるま</v>
      </c>
      <c r="P4" s="24">
        <v>6</v>
      </c>
      <c r="Q4" s="25" t="str">
        <f>VLOOKUP(P4,$S$2:$T$35,2)</f>
        <v>江藤ひいらぎ</v>
      </c>
      <c r="S4" s="16">
        <v>3</v>
      </c>
      <c r="T4" s="16" t="s">
        <v>3</v>
      </c>
    </row>
    <row r="5" spans="1:20" ht="35" customHeight="1" thickBot="1" x14ac:dyDescent="0.75">
      <c r="A5" s="7"/>
      <c r="B5" s="8"/>
      <c r="C5" s="9"/>
      <c r="D5" s="10"/>
      <c r="E5" s="8"/>
      <c r="F5" s="69"/>
      <c r="G5" s="10"/>
      <c r="H5" s="8"/>
      <c r="I5" s="9"/>
      <c r="J5" s="10"/>
      <c r="K5" s="11"/>
      <c r="M5" s="7"/>
      <c r="N5" s="8"/>
      <c r="O5" s="9"/>
      <c r="P5" s="10"/>
      <c r="Q5" s="11"/>
      <c r="S5" s="16">
        <v>4</v>
      </c>
      <c r="T5" s="16" t="s">
        <v>4</v>
      </c>
    </row>
    <row r="6" spans="1:20" ht="21.5" customHeight="1" thickBot="1" x14ac:dyDescent="0.75">
      <c r="S6" s="16">
        <v>5</v>
      </c>
      <c r="T6" s="16" t="s">
        <v>5</v>
      </c>
    </row>
    <row r="7" spans="1:20" s="16" customFormat="1" ht="35" customHeight="1" x14ac:dyDescent="0.7">
      <c r="A7" s="12">
        <v>17</v>
      </c>
      <c r="B7" s="13" t="str">
        <f>VLOOKUP(A7,$S$2:$T$35,2)</f>
        <v>清水りお</v>
      </c>
      <c r="C7" s="14"/>
      <c r="D7" s="15">
        <v>28</v>
      </c>
      <c r="E7" s="21" t="str">
        <f>VLOOKUP(D7,$S$2:$T$35,2)</f>
        <v>中沢けんじ</v>
      </c>
      <c r="G7" s="12">
        <v>26</v>
      </c>
      <c r="H7" s="13" t="str">
        <f>VLOOKUP(G7,$S$2:$T$35,2)</f>
        <v>豊田ひな</v>
      </c>
      <c r="I7" s="14"/>
      <c r="J7" s="15">
        <v>24</v>
      </c>
      <c r="K7" s="21" t="str">
        <f>VLOOKUP(J7,$S$2:$T$35,2)</f>
        <v>坪井はるき</v>
      </c>
      <c r="M7" s="12">
        <v>25</v>
      </c>
      <c r="N7" s="13" t="str">
        <f>VLOOKUP(M7,$S$2:$T$35,2)</f>
        <v>鶴巻りおな</v>
      </c>
      <c r="O7" s="14"/>
      <c r="P7" s="15">
        <v>3</v>
      </c>
      <c r="Q7" s="21" t="str">
        <f>VLOOKUP(P7,$S$2:$T$35,2)</f>
        <v>池田けんしん</v>
      </c>
      <c r="S7" s="16">
        <v>6</v>
      </c>
      <c r="T7" s="16" t="s">
        <v>6</v>
      </c>
    </row>
    <row r="8" spans="1:20" ht="35" customHeight="1" x14ac:dyDescent="0.7">
      <c r="A8" s="4"/>
      <c r="B8" s="2"/>
      <c r="D8" s="1"/>
      <c r="E8" s="5"/>
      <c r="G8" s="4"/>
      <c r="H8" s="2"/>
      <c r="J8" s="1"/>
      <c r="K8" s="5"/>
      <c r="M8" s="4"/>
      <c r="N8" s="2"/>
      <c r="P8" s="1"/>
      <c r="Q8" s="5"/>
      <c r="S8" s="16">
        <v>7</v>
      </c>
      <c r="T8" s="16" t="s">
        <v>7</v>
      </c>
    </row>
    <row r="9" spans="1:20" ht="21.5" customHeight="1" x14ac:dyDescent="0.7">
      <c r="A9" s="4"/>
      <c r="B9" s="3"/>
      <c r="C9" s="26">
        <v>2</v>
      </c>
      <c r="D9" s="3"/>
      <c r="E9" s="5"/>
      <c r="G9" s="6"/>
      <c r="H9" s="3"/>
      <c r="I9" s="26">
        <v>4</v>
      </c>
      <c r="J9" s="3"/>
      <c r="K9" s="5"/>
      <c r="M9" s="6"/>
      <c r="N9" s="3"/>
      <c r="O9" s="26">
        <v>7</v>
      </c>
      <c r="P9" s="3"/>
      <c r="Q9" s="5"/>
      <c r="S9" s="16">
        <v>8</v>
      </c>
      <c r="T9" s="16" t="s">
        <v>8</v>
      </c>
    </row>
    <row r="10" spans="1:20" s="16" customFormat="1" ht="35" customHeight="1" x14ac:dyDescent="0.7">
      <c r="A10" s="22">
        <v>13</v>
      </c>
      <c r="B10" s="23" t="str">
        <f>VLOOKUP(A10,$S$2:$T$35,2)</f>
        <v>小林ふうが</v>
      </c>
      <c r="D10" s="24">
        <v>5</v>
      </c>
      <c r="E10" s="25" t="str">
        <f>VLOOKUP(D10,$S$2:$T$35,2)</f>
        <v>岩田しの</v>
      </c>
      <c r="G10" s="17">
        <v>7</v>
      </c>
      <c r="H10" s="23" t="str">
        <f>VLOOKUP(G10,$S$2:$T$35,2)</f>
        <v>大場はるた</v>
      </c>
      <c r="J10" s="24">
        <v>29</v>
      </c>
      <c r="K10" s="25" t="str">
        <f>VLOOKUP(J10,$S$2:$T$35,2)</f>
        <v>中津川みあ</v>
      </c>
      <c r="M10" s="17">
        <v>10</v>
      </c>
      <c r="N10" s="23" t="str">
        <f>VLOOKUP(M10,$S$2:$T$35,2)</f>
        <v>木下なつき</v>
      </c>
      <c r="P10" s="24">
        <v>30</v>
      </c>
      <c r="Q10" s="25" t="str">
        <f>VLOOKUP(P10,$S$2:$T$35,2)</f>
        <v>藤森あおい</v>
      </c>
      <c r="S10" s="16">
        <v>9</v>
      </c>
      <c r="T10" s="16" t="s">
        <v>9</v>
      </c>
    </row>
    <row r="11" spans="1:20" ht="35" customHeight="1" thickBot="1" x14ac:dyDescent="0.75">
      <c r="A11" s="7"/>
      <c r="B11" s="8"/>
      <c r="C11" s="9"/>
      <c r="D11" s="10"/>
      <c r="E11" s="11"/>
      <c r="G11" s="7"/>
      <c r="H11" s="8"/>
      <c r="I11" s="9"/>
      <c r="J11" s="10"/>
      <c r="K11" s="11"/>
      <c r="M11" s="7"/>
      <c r="N11" s="8"/>
      <c r="O11" s="9"/>
      <c r="P11" s="10"/>
      <c r="Q11" s="11"/>
      <c r="S11" s="16">
        <v>10</v>
      </c>
      <c r="T11" s="16" t="s">
        <v>10</v>
      </c>
    </row>
    <row r="12" spans="1:20" ht="21.5" customHeight="1" thickBot="1" x14ac:dyDescent="0.75">
      <c r="S12" s="16">
        <v>11</v>
      </c>
      <c r="T12" s="16" t="s">
        <v>11</v>
      </c>
    </row>
    <row r="13" spans="1:20" s="16" customFormat="1" ht="35" customHeight="1" x14ac:dyDescent="0.7">
      <c r="A13" s="12">
        <v>15</v>
      </c>
      <c r="B13" s="13" t="str">
        <f>VLOOKUP(A13,$S$2:$T$35,2)</f>
        <v>坂口あやせ</v>
      </c>
      <c r="C13" s="14"/>
      <c r="D13" s="15">
        <v>33</v>
      </c>
      <c r="E13" s="21" t="str">
        <f>VLOOKUP(D13,$S$2:$T$35,2)</f>
        <v>山田りく</v>
      </c>
      <c r="G13" s="12">
        <v>21</v>
      </c>
      <c r="H13" s="13" t="str">
        <f>VLOOKUP(G13,$S$2:$T$35,2)</f>
        <v>須山さくら</v>
      </c>
      <c r="I13" s="14"/>
      <c r="J13" s="15">
        <v>2</v>
      </c>
      <c r="K13" s="21" t="str">
        <f>VLOOKUP(J13,$S$2:$T$35,2)</f>
        <v>井口しゅう</v>
      </c>
      <c r="M13" s="12">
        <v>18</v>
      </c>
      <c r="N13" s="13" t="str">
        <f>VLOOKUP(M13,$S$2:$T$35,2)</f>
        <v>庄古あかり</v>
      </c>
      <c r="O13" s="14"/>
      <c r="P13" s="15">
        <v>12</v>
      </c>
      <c r="Q13" s="21" t="str">
        <f>VLOOKUP(P13,$S$2:$T$35,2)</f>
        <v>小林だいち</v>
      </c>
      <c r="S13" s="16">
        <v>12</v>
      </c>
      <c r="T13" s="16" t="s">
        <v>12</v>
      </c>
    </row>
    <row r="14" spans="1:20" ht="35" customHeight="1" x14ac:dyDescent="0.7">
      <c r="A14" s="4"/>
      <c r="B14" s="2"/>
      <c r="D14" s="1"/>
      <c r="E14" s="5"/>
      <c r="G14" s="4"/>
      <c r="H14" s="2"/>
      <c r="J14" s="1"/>
      <c r="K14" s="5"/>
      <c r="M14" s="4"/>
      <c r="N14" s="2"/>
      <c r="P14" s="1"/>
      <c r="Q14" s="5"/>
      <c r="S14" s="16">
        <v>13</v>
      </c>
      <c r="T14" s="16" t="s">
        <v>13</v>
      </c>
    </row>
    <row r="15" spans="1:20" ht="21.5" customHeight="1" x14ac:dyDescent="0.7">
      <c r="A15" s="4"/>
      <c r="B15" s="3"/>
      <c r="C15" s="26">
        <v>1</v>
      </c>
      <c r="D15" s="3"/>
      <c r="E15" s="5"/>
      <c r="G15" s="6"/>
      <c r="H15" s="3"/>
      <c r="I15" s="26">
        <v>3</v>
      </c>
      <c r="J15" s="3"/>
      <c r="K15" s="5"/>
      <c r="M15" s="6"/>
      <c r="N15" s="3"/>
      <c r="O15" s="26">
        <v>6</v>
      </c>
      <c r="P15" s="3"/>
      <c r="Q15" s="5"/>
      <c r="S15" s="16">
        <v>14</v>
      </c>
      <c r="T15" s="16" t="s">
        <v>14</v>
      </c>
    </row>
    <row r="16" spans="1:20" s="16" customFormat="1" ht="35" customHeight="1" x14ac:dyDescent="0.7">
      <c r="A16" s="22">
        <v>31</v>
      </c>
      <c r="B16" s="23" t="str">
        <f>VLOOKUP(A16,$S$2:$T$35,2)</f>
        <v>藤原せいご</v>
      </c>
      <c r="D16" s="24">
        <v>16</v>
      </c>
      <c r="E16" s="25" t="str">
        <f>VLOOKUP(D16,$S$2:$T$35,2)</f>
        <v>佐藤べに</v>
      </c>
      <c r="G16" s="17">
        <v>11</v>
      </c>
      <c r="H16" s="23" t="str">
        <f>VLOOKUP(G16,$S$2:$T$35,2)</f>
        <v>久野よしあき</v>
      </c>
      <c r="J16" s="24">
        <v>32</v>
      </c>
      <c r="K16" s="25" t="str">
        <f>VLOOKUP(J16,$S$2:$T$35,2)</f>
        <v>牧野そうた</v>
      </c>
      <c r="M16" s="17">
        <v>14</v>
      </c>
      <c r="N16" s="23" t="str">
        <f>VLOOKUP(M16,$S$2:$T$35,2)</f>
        <v>宰川そら</v>
      </c>
      <c r="P16" s="24">
        <v>1</v>
      </c>
      <c r="Q16" s="25" t="str">
        <f>VLOOKUP(P16,$S$2:$T$35,2)</f>
        <v>青池すみれ</v>
      </c>
      <c r="S16" s="16">
        <v>15</v>
      </c>
      <c r="T16" s="16" t="s">
        <v>15</v>
      </c>
    </row>
    <row r="17" spans="1:20" ht="35" customHeight="1" thickBot="1" x14ac:dyDescent="0.75">
      <c r="A17" s="7"/>
      <c r="B17" s="8"/>
      <c r="C17" s="9"/>
      <c r="D17" s="10"/>
      <c r="E17" s="11"/>
      <c r="G17" s="7"/>
      <c r="H17" s="8"/>
      <c r="I17" s="9"/>
      <c r="J17" s="10"/>
      <c r="K17" s="11"/>
      <c r="M17" s="7"/>
      <c r="N17" s="8"/>
      <c r="O17" s="9"/>
      <c r="P17" s="10"/>
      <c r="Q17" s="11"/>
      <c r="S17" s="16">
        <v>16</v>
      </c>
      <c r="T17" s="16" t="s">
        <v>16</v>
      </c>
    </row>
    <row r="18" spans="1:20" ht="35.75" customHeight="1" x14ac:dyDescent="0.7">
      <c r="S18" s="16">
        <v>17</v>
      </c>
      <c r="T18" s="16" t="s">
        <v>17</v>
      </c>
    </row>
    <row r="19" spans="1:20" ht="35.75" customHeight="1" x14ac:dyDescent="0.7">
      <c r="S19" s="16">
        <v>18</v>
      </c>
      <c r="T19" s="16" t="s">
        <v>18</v>
      </c>
    </row>
    <row r="20" spans="1:20" ht="35.75" customHeight="1" x14ac:dyDescent="0.7">
      <c r="S20" s="16">
        <v>19</v>
      </c>
      <c r="T20" s="16" t="s">
        <v>19</v>
      </c>
    </row>
    <row r="21" spans="1:20" ht="35.75" customHeight="1" x14ac:dyDescent="0.7">
      <c r="S21" s="16">
        <v>20</v>
      </c>
      <c r="T21" s="16" t="s">
        <v>20</v>
      </c>
    </row>
    <row r="22" spans="1:20" ht="35.75" customHeight="1" x14ac:dyDescent="0.7">
      <c r="S22" s="16">
        <v>21</v>
      </c>
      <c r="T22" s="16" t="s">
        <v>21</v>
      </c>
    </row>
    <row r="23" spans="1:20" ht="35.75" customHeight="1" x14ac:dyDescent="0.7">
      <c r="S23" s="16">
        <v>22</v>
      </c>
      <c r="T23" s="16" t="s">
        <v>22</v>
      </c>
    </row>
    <row r="24" spans="1:20" ht="35.75" customHeight="1" x14ac:dyDescent="0.7">
      <c r="S24" s="16">
        <v>23</v>
      </c>
      <c r="T24" s="16" t="s">
        <v>23</v>
      </c>
    </row>
    <row r="25" spans="1:20" ht="35.75" customHeight="1" x14ac:dyDescent="0.7">
      <c r="S25" s="16">
        <v>24</v>
      </c>
      <c r="T25" s="16" t="s">
        <v>24</v>
      </c>
    </row>
    <row r="26" spans="1:20" ht="35.75" customHeight="1" x14ac:dyDescent="0.7">
      <c r="S26" s="16">
        <v>25</v>
      </c>
      <c r="T26" s="16" t="s">
        <v>25</v>
      </c>
    </row>
    <row r="27" spans="1:20" ht="35.75" customHeight="1" x14ac:dyDescent="0.7">
      <c r="S27" s="16">
        <v>26</v>
      </c>
      <c r="T27" s="16" t="s">
        <v>26</v>
      </c>
    </row>
    <row r="28" spans="1:20" ht="35.75" customHeight="1" x14ac:dyDescent="0.7">
      <c r="S28" s="16">
        <v>27</v>
      </c>
      <c r="T28" s="16" t="s">
        <v>27</v>
      </c>
    </row>
    <row r="29" spans="1:20" ht="35.75" customHeight="1" x14ac:dyDescent="0.7">
      <c r="S29" s="16">
        <v>28</v>
      </c>
      <c r="T29" s="16" t="s">
        <v>28</v>
      </c>
    </row>
    <row r="30" spans="1:20" ht="35.75" customHeight="1" x14ac:dyDescent="0.7">
      <c r="S30" s="16">
        <v>29</v>
      </c>
      <c r="T30" s="16" t="s">
        <v>29</v>
      </c>
    </row>
    <row r="31" spans="1:20" ht="35.75" customHeight="1" x14ac:dyDescent="0.7">
      <c r="S31" s="16">
        <v>30</v>
      </c>
      <c r="T31" s="16" t="s">
        <v>30</v>
      </c>
    </row>
    <row r="32" spans="1:20" ht="35.75" customHeight="1" x14ac:dyDescent="0.7">
      <c r="S32" s="16">
        <v>31</v>
      </c>
      <c r="T32" s="16" t="s">
        <v>31</v>
      </c>
    </row>
    <row r="33" spans="19:20" ht="35.75" customHeight="1" x14ac:dyDescent="0.7">
      <c r="S33" s="16">
        <v>32</v>
      </c>
      <c r="T33" s="16" t="s">
        <v>32</v>
      </c>
    </row>
    <row r="34" spans="19:20" ht="35.75" customHeight="1" x14ac:dyDescent="0.7">
      <c r="S34" s="16">
        <v>33</v>
      </c>
      <c r="T34" s="16" t="s">
        <v>33</v>
      </c>
    </row>
  </sheetData>
  <mergeCells count="1">
    <mergeCell ref="F4:F5"/>
  </mergeCells>
  <phoneticPr fontId="1"/>
  <pageMargins left="0.25" right="0.25" top="0.33" bottom="0.05" header="0.37" footer="0.21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設定</vt:lpstr>
      <vt:lpstr>座席表もと</vt:lpstr>
      <vt:lpstr>9.1</vt:lpstr>
      <vt:lpstr>6.24</vt:lpstr>
      <vt:lpstr>5.8</vt:lpstr>
      <vt:lpstr>'5.8'!Print_Area</vt:lpstr>
      <vt:lpstr>'6.24'!Print_Area</vt:lpstr>
      <vt:lpstr>'9.1'!Print_Area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Satoko H</dc:creator>
  <cp:lastModifiedBy>Satoko H</cp:lastModifiedBy>
  <cp:lastPrinted>2026-10-11T13:34:55Z</cp:lastPrinted>
  <dcterms:created xsi:type="dcterms:W3CDTF">2026-05-10T17:31:11Z</dcterms:created>
  <dcterms:modified xsi:type="dcterms:W3CDTF">2026-10-11T13:36:20Z</dcterms:modified>
</cp:coreProperties>
</file>